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  <sheet name="API001 Auth Register Login" sheetId="2" state="visible" r:id="rId2"/>
    <sheet name="API002 Auth Token" sheetId="3" state="visible" r:id="rId3"/>
    <sheet name="API003 Auth Password" sheetId="4" state="visible" r:id="rId4"/>
    <sheet name="API004 Profile" sheetId="5" state="visible" r:id="rId5"/>
    <sheet name="API005 Settings" sheetId="6" state="visible" r:id="rId6"/>
    <sheet name="Template" sheetId="7" state="visible" r:id="rId7"/>
  </sheets>
  <definedNames>
    <definedName name="_xlnm._FilterDatabase" localSheetId="0" hidden="1">'TEST REPORT'!$A$3:$N$8</definedName>
    <definedName name="_xlnm._FilterDatabase" localSheetId="1" hidden="1">'API001 Auth Register Login'!$A$14:$AB$27</definedName>
    <definedName name="_xlnm._FilterDatabase" localSheetId="2" hidden="1">'API002 Auth Token'!$A$14:$AB$19</definedName>
    <definedName name="_xlnm._FilterDatabase" localSheetId="3" hidden="1">'API003 Auth Password'!$A$14:$AB$22</definedName>
    <definedName name="_xlnm._FilterDatabase" localSheetId="4" hidden="1">'API004 Profile'!$A$14:$AB$25</definedName>
    <definedName name="_xlnm._FilterDatabase" localSheetId="5" hidden="1">'API005 Settings'!$A$14:$AB$22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10"/>
    </font>
    <font>
      <name val="Times New Roman"/>
      <b val="1"/>
    </font>
    <font>
      <name val="Times New Roman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8FBF7"/>
      </patternFill>
    </fill>
    <fill>
      <patternFill patternType="solid">
        <fgColor rgb="004472C4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9" fontId="4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9" fontId="2" fillId="3" borderId="1" applyAlignment="1" pivotButton="0" quotePrefix="0" xfId="0">
      <alignment horizontal="center" vertical="center" wrapText="1"/>
    </xf>
    <xf numFmtId="0" fontId="3" fillId="2" borderId="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2" borderId="1" pivotButton="0" quotePrefix="0" xfId="0"/>
    <xf numFmtId="0" fontId="2" fillId="2" borderId="1" pivotButton="0" quotePrefix="0" xfId="0"/>
    <xf numFmtId="0" fontId="2" fillId="0" borderId="1" pivotButton="0" quotePrefix="0" xfId="0"/>
    <xf numFmtId="0" fontId="3" fillId="3" borderId="0" pivotButton="0" quotePrefix="0" xfId="0"/>
    <xf numFmtId="0" fontId="4" fillId="4" borderId="1" applyAlignment="1" pivotButton="0" quotePrefix="0" xfId="0">
      <alignment vertical="center" wrapText="1"/>
    </xf>
    <xf numFmtId="0" fontId="0" fillId="3" borderId="0" pivotButton="0" quotePrefix="0" xfId="0"/>
    <xf numFmtId="0" fontId="0" fillId="0" borderId="8" pivotButton="0" quotePrefix="0" xfId="0"/>
    <xf numFmtId="0" fontId="5" fillId="5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OpenAI</author>
  </authors>
  <commentList>
    <comment ref="H14" authorId="0" shapeId="0">
      <text>
        <t>Status cần xác nhận theo API contract thực tế trước khi chạy test.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H14" authorId="0" shapeId="0">
      <text>
        <t>Status cần xác nhận theo API contract thực tế trước khi chạy test.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H14" authorId="0" shapeId="0">
      <text>
        <t>Status cần xác nhận theo API contract thực tế trước khi chạy test.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H14" authorId="0" shapeId="0">
      <text>
        <t>Status cần xác nhận theo API contract thực tế trước khi chạy test.</t>
      </text>
    </comment>
  </commentList>
</comments>
</file>

<file path=xl/comments/comment5.xml><?xml version="1.0" encoding="utf-8"?>
<comments xmlns="http://schemas.openxmlformats.org/spreadsheetml/2006/main">
  <authors>
    <author>OpenAI</author>
  </authors>
  <commentList>
    <comment ref="H14" authorId="0" shapeId="0">
      <text>
        <t>Status cần xác nhận theo API contract thực tế trước khi chạy test.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9"/>
  <sheetViews>
    <sheetView showGridLines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  <col width="31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3" customWidth="1" min="9" max="9"/>
    <col width="10" customWidth="1" min="10" max="10"/>
    <col width="9" customWidth="1" min="11" max="11"/>
    <col width="16" customWidth="1" min="12" max="12"/>
    <col width="12" customWidth="1" min="13" max="13"/>
    <col width="28" customWidth="1" min="14" max="14"/>
  </cols>
  <sheetData>
    <row r="1">
      <c r="A1" s="1" t="inlineStr">
        <is>
          <t>TEST REPORT</t>
        </is>
      </c>
    </row>
    <row r="3" ht="40" customHeight="1">
      <c r="A3" s="2" t="inlineStr">
        <is>
          <t>No.</t>
        </is>
      </c>
      <c r="B3" s="2" t="inlineStr">
        <is>
          <t>Sheet name</t>
        </is>
      </c>
      <c r="C3" s="2" t="inlineStr">
        <is>
          <t>API name</t>
        </is>
      </c>
      <c r="D3" s="2" t="inlineStr">
        <is>
          <t>Total Testcase</t>
        </is>
      </c>
      <c r="E3" s="2" t="inlineStr">
        <is>
          <t>Passed</t>
        </is>
      </c>
      <c r="F3" s="2" t="inlineStr">
        <is>
          <t>Failed</t>
        </is>
      </c>
      <c r="G3" s="2" t="inlineStr">
        <is>
          <t>Blocked</t>
        </is>
      </c>
      <c r="H3" s="2" t="inlineStr">
        <is>
          <t>Not run</t>
        </is>
      </c>
      <c r="I3" s="2" t="inlineStr">
        <is>
          <t>Automation</t>
        </is>
      </c>
      <c r="J3" s="2" t="inlineStr">
        <is>
          <t>Manual</t>
        </is>
      </c>
      <c r="K3" s="2" t="inlineStr">
        <is>
          <t>N/A</t>
        </is>
      </c>
      <c r="L3" s="2" t="inlineStr">
        <is>
          <t>Status Testing</t>
        </is>
      </c>
      <c r="M3" s="2" t="inlineStr">
        <is>
          <t>Progress</t>
        </is>
      </c>
      <c r="N3" s="2" t="inlineStr">
        <is>
          <t>Remarks</t>
        </is>
      </c>
    </row>
    <row r="4" ht="42" customHeight="1">
      <c r="A4" s="3" t="n">
        <v>1</v>
      </c>
      <c r="B4" s="3" t="inlineStr">
        <is>
          <t>API001 Auth Register Login</t>
        </is>
      </c>
      <c r="C4" s="3" t="inlineStr">
        <is>
          <t>API-1 Auth Register Login</t>
        </is>
      </c>
      <c r="D4" s="3" t="n">
        <v>13</v>
      </c>
      <c r="E4" s="3">
        <f>COUNTIF('API001 Auth Register Login'!Z15:Z27,"Passed")</f>
        <v/>
      </c>
      <c r="F4" s="3">
        <f>COUNTIF('API001 Auth Register Login'!Z15:Z27,"Failed")</f>
        <v/>
      </c>
      <c r="G4" s="3">
        <f>COUNTIF('API001 Auth Register Login'!Z15:Z27,"Blocked")</f>
        <v/>
      </c>
      <c r="H4" s="3">
        <f>COUNTIF('API001 Auth Register Login'!Z15:Z27,"Not Run")</f>
        <v/>
      </c>
      <c r="I4" s="3">
        <f>COUNTIF('API001 Auth Register Login'!L15:L27,"Automation")</f>
        <v/>
      </c>
      <c r="J4" s="3">
        <f>COUNTIF('API001 Auth Register Login'!L15:L27,"Manual")</f>
        <v/>
      </c>
      <c r="K4" s="3" t="n">
        <v>0</v>
      </c>
      <c r="L4" s="3" t="inlineStr">
        <is>
          <t>Test Done</t>
        </is>
      </c>
      <c r="M4" s="4">
        <f>IF(D4=0,0,(E4+F4)/D4)</f>
        <v/>
      </c>
      <c r="N4" s="3" t="n"/>
    </row>
    <row r="5" ht="42" customHeight="1">
      <c r="A5" s="3" t="n">
        <v>2</v>
      </c>
      <c r="B5" s="3" t="inlineStr">
        <is>
          <t>API002 Auth Token</t>
        </is>
      </c>
      <c r="C5" s="3" t="inlineStr">
        <is>
          <t>API-2 Auth Token</t>
        </is>
      </c>
      <c r="D5" s="3" t="n">
        <v>5</v>
      </c>
      <c r="E5" s="3">
        <f>COUNTIF('API002 Auth Token'!Z15:Z19,"Passed")</f>
        <v/>
      </c>
      <c r="F5" s="3">
        <f>COUNTIF('API002 Auth Token'!Z15:Z19,"Failed")</f>
        <v/>
      </c>
      <c r="G5" s="3">
        <f>COUNTIF('API002 Auth Token'!Z15:Z19,"Blocked")</f>
        <v/>
      </c>
      <c r="H5" s="3">
        <f>COUNTIF('API002 Auth Token'!Z15:Z19,"Not Run")</f>
        <v/>
      </c>
      <c r="I5" s="3">
        <f>COUNTIF('API002 Auth Token'!L15:L19,"Automation")</f>
        <v/>
      </c>
      <c r="J5" s="3">
        <f>COUNTIF('API002 Auth Token'!L15:L19,"Manual")</f>
        <v/>
      </c>
      <c r="K5" s="3" t="n">
        <v>0</v>
      </c>
      <c r="L5" s="3" t="inlineStr">
        <is>
          <t>Test Done</t>
        </is>
      </c>
      <c r="M5" s="4">
        <f>IF(D5=0,0,(E5+F5)/D5)</f>
        <v/>
      </c>
      <c r="N5" s="3" t="n"/>
    </row>
    <row r="6" ht="42" customHeight="1">
      <c r="A6" s="3" t="n">
        <v>3</v>
      </c>
      <c r="B6" s="3" t="inlineStr">
        <is>
          <t>API003 Auth Password</t>
        </is>
      </c>
      <c r="C6" s="3" t="inlineStr">
        <is>
          <t>API-3 Auth Password</t>
        </is>
      </c>
      <c r="D6" s="3" t="n">
        <v>8</v>
      </c>
      <c r="E6" s="3">
        <f>COUNTIF('API003 Auth Password'!Z15:Z22,"Passed")</f>
        <v/>
      </c>
      <c r="F6" s="3">
        <f>COUNTIF('API003 Auth Password'!Z15:Z22,"Failed")</f>
        <v/>
      </c>
      <c r="G6" s="3">
        <f>COUNTIF('API003 Auth Password'!Z15:Z22,"Blocked")</f>
        <v/>
      </c>
      <c r="H6" s="3">
        <f>COUNTIF('API003 Auth Password'!Z15:Z22,"Not Run")</f>
        <v/>
      </c>
      <c r="I6" s="3">
        <f>COUNTIF('API003 Auth Password'!L15:L22,"Automation")</f>
        <v/>
      </c>
      <c r="J6" s="3">
        <f>COUNTIF('API003 Auth Password'!L15:L22,"Manual")</f>
        <v/>
      </c>
      <c r="K6" s="3" t="n">
        <v>0</v>
      </c>
      <c r="L6" s="3" t="inlineStr">
        <is>
          <t>Test Done</t>
        </is>
      </c>
      <c r="M6" s="4">
        <f>IF(D6=0,0,(E6+F6)/D6)</f>
        <v/>
      </c>
      <c r="N6" s="3" t="n"/>
    </row>
    <row r="7" ht="42" customHeight="1">
      <c r="A7" s="3" t="n">
        <v>4</v>
      </c>
      <c r="B7" s="3" t="inlineStr">
        <is>
          <t>API004 Profile</t>
        </is>
      </c>
      <c r="C7" s="3" t="inlineStr">
        <is>
          <t>API-4 Profile</t>
        </is>
      </c>
      <c r="D7" s="3" t="n">
        <v>11</v>
      </c>
      <c r="E7" s="3">
        <f>COUNTIF('API004 Profile'!Z15:Z29,"Passed")</f>
        <v/>
      </c>
      <c r="F7" s="3">
        <f>COUNTIF('API004 Profile'!Z15:Z29,"Failed")</f>
        <v/>
      </c>
      <c r="G7" s="3">
        <f>COUNTIF('API004 Profile'!Z15:Z29,"Blocked")</f>
        <v/>
      </c>
      <c r="H7" s="3">
        <f>COUNTIF('API004 Profile'!Z15:Z29,"Not Run")</f>
        <v/>
      </c>
      <c r="I7" s="3">
        <f>COUNTIF('API004 Profile'!L15:L29,"Automation")</f>
        <v/>
      </c>
      <c r="J7" s="3">
        <f>COUNTIF('API004 Profile'!L15:L29,"Manual")</f>
        <v/>
      </c>
      <c r="K7" s="3" t="n">
        <v>0</v>
      </c>
      <c r="L7" s="3" t="inlineStr">
        <is>
          <t>Test Done</t>
        </is>
      </c>
      <c r="M7" s="4">
        <f>IF(D7=0,0,(E7+F7)/D7)</f>
        <v/>
      </c>
      <c r="N7" s="3" t="n"/>
    </row>
    <row r="8" ht="42" customHeight="1">
      <c r="A8" s="3" t="n">
        <v>5</v>
      </c>
      <c r="B8" s="3" t="inlineStr">
        <is>
          <t>API005 Settings</t>
        </is>
      </c>
      <c r="C8" s="3" t="inlineStr">
        <is>
          <t>API-5 Settings</t>
        </is>
      </c>
      <c r="D8" s="3" t="n">
        <v>8</v>
      </c>
      <c r="E8" s="3">
        <f>COUNTIF('API005 Settings'!Z15:Z22,"Passed")</f>
        <v/>
      </c>
      <c r="F8" s="3">
        <f>COUNTIF('API005 Settings'!Z15:Z22,"Failed")</f>
        <v/>
      </c>
      <c r="G8" s="3">
        <f>COUNTIF('API005 Settings'!Z15:Z22,"Blocked")</f>
        <v/>
      </c>
      <c r="H8" s="3">
        <f>COUNTIF('API005 Settings'!Z15:Z22,"Not Run")</f>
        <v/>
      </c>
      <c r="I8" s="3">
        <f>COUNTIF('API005 Settings'!L15:L22,"Automation")</f>
        <v/>
      </c>
      <c r="J8" s="3">
        <f>COUNTIF('API005 Settings'!L15:L22,"Manual")</f>
        <v/>
      </c>
      <c r="K8" s="3" t="n">
        <v>0</v>
      </c>
      <c r="L8" s="3" t="inlineStr">
        <is>
          <t>Test Done</t>
        </is>
      </c>
      <c r="M8" s="4">
        <f>IF(D8=0,0,(E8+F8)/D8)</f>
        <v/>
      </c>
      <c r="N8" s="3" t="n"/>
    </row>
    <row r="9">
      <c r="A9" s="5" t="n"/>
      <c r="B9" s="5" t="n"/>
      <c r="C9" s="5" t="inlineStr">
        <is>
          <t>Total (unexecuted cases remain Not Run)</t>
        </is>
      </c>
      <c r="D9" s="5">
        <f>SUM(D4:D8)</f>
        <v/>
      </c>
      <c r="E9" s="5">
        <f>SUM(E4:E8)</f>
        <v/>
      </c>
      <c r="F9" s="5">
        <f>SUM(F4:F8)</f>
        <v/>
      </c>
      <c r="G9" s="5">
        <f>SUM(G4:G8)</f>
        <v/>
      </c>
      <c r="H9" s="5">
        <f>SUM(H4:H8)</f>
        <v/>
      </c>
      <c r="I9" s="5">
        <f>SUM(I4:I8)</f>
        <v/>
      </c>
      <c r="J9" s="5">
        <f>SUM(J4:J8)</f>
        <v/>
      </c>
      <c r="K9" s="5">
        <f>SUM(K4:K8)</f>
        <v/>
      </c>
      <c r="L9" s="5" t="n"/>
      <c r="M9" s="6">
        <f>IF(D9=0,0,(E9+F9)/D9)</f>
        <v/>
      </c>
      <c r="N9" s="5" t="n"/>
    </row>
  </sheetData>
  <autoFilter ref="A3:N8"/>
  <mergeCells count="1">
    <mergeCell ref="A1:N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27"/>
  <sheetViews>
    <sheetView showGridLines="1" zoomScale="85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28" customWidth="1" min="4" max="4"/>
    <col width="24" customWidth="1" min="5" max="5"/>
    <col width="20" customWidth="1" min="6" max="6"/>
    <col width="30" customWidth="1" min="7" max="7"/>
    <col width="20" customWidth="1" min="8" max="8"/>
    <col width="38" customWidth="1" min="9" max="9"/>
    <col width="34" customWidth="1" min="10" max="10"/>
    <col width="13" customWidth="1" min="11" max="11"/>
    <col width="14" customWidth="1" min="12" max="12"/>
    <col width="30" customWidth="1" min="13" max="13"/>
    <col width="16" customWidth="1" min="14" max="14"/>
    <col width="13" customWidth="1" min="15" max="15"/>
    <col width="36" customWidth="1" min="16" max="16"/>
    <col width="17" customWidth="1" min="17" max="17"/>
    <col width="32" customWidth="1" min="18" max="18"/>
    <col width="33" customWidth="1" min="19" max="19"/>
    <col width="38" customWidth="1" min="20" max="20"/>
    <col width="42" customWidth="1" min="21" max="21"/>
    <col width="18" customWidth="1" min="22" max="22"/>
    <col width="45" customWidth="1" min="23" max="23"/>
    <col width="42" customWidth="1" min="24" max="24"/>
    <col width="12" customWidth="1" min="25" max="25"/>
    <col width="16" customWidth="1" min="26" max="26"/>
    <col width="18" customWidth="1" min="27" max="27"/>
    <col width="43" customWidth="1" min="28" max="28"/>
  </cols>
  <sheetData>
    <row r="1">
      <c r="A1" s="7" t="inlineStr">
        <is>
          <t>Project Name</t>
        </is>
      </c>
      <c r="B1" s="8" t="inlineStr">
        <is>
          <t>TalkWithMe</t>
        </is>
      </c>
      <c r="C1" s="9" t="n"/>
      <c r="D1" s="9" t="n"/>
      <c r="E1" s="9" t="n"/>
      <c r="F1" s="9" t="n"/>
      <c r="G1" s="10" t="n"/>
    </row>
    <row r="2">
      <c r="A2" s="7" t="inlineStr">
        <is>
          <t>API Name</t>
        </is>
      </c>
      <c r="B2" s="8" t="inlineStr">
        <is>
          <t>API001 Auth Register Login</t>
        </is>
      </c>
      <c r="C2" s="9" t="n"/>
      <c r="D2" s="9" t="n"/>
      <c r="E2" s="9" t="n"/>
      <c r="F2" s="9" t="n"/>
      <c r="G2" s="10" t="n"/>
    </row>
    <row r="3">
      <c r="A3" s="7" t="inlineStr">
        <is>
          <t>Owner</t>
        </is>
      </c>
      <c r="B3" s="8" t="inlineStr">
        <is>
          <t>QA / Backend Team</t>
        </is>
      </c>
      <c r="C3" s="9" t="n"/>
      <c r="D3" s="9" t="n"/>
      <c r="E3" s="9" t="n"/>
      <c r="F3" s="9" t="n"/>
      <c r="G3" s="10" t="n"/>
    </row>
    <row r="5">
      <c r="A5" s="11" t="inlineStr">
        <is>
          <t>PASSED</t>
        </is>
      </c>
      <c r="B5" s="8">
        <f>COUNTIF(Z15:Z27,"Passed")</f>
        <v/>
      </c>
    </row>
    <row r="6">
      <c r="A6" s="11" t="inlineStr">
        <is>
          <t>FAILED</t>
        </is>
      </c>
      <c r="B6" s="8">
        <f>COUNTIF(Z15:Z27,"Failed")</f>
        <v/>
      </c>
    </row>
    <row r="7">
      <c r="A7" s="11" t="inlineStr">
        <is>
          <t>PENDING</t>
        </is>
      </c>
      <c r="B7" s="8">
        <f>COUNTIF(Z15:Z27,"Blocked")</f>
        <v/>
      </c>
    </row>
    <row r="8">
      <c r="A8" s="11" t="inlineStr">
        <is>
          <t>NOT RUN</t>
        </is>
      </c>
      <c r="B8" s="8">
        <f>COUNTIF(Z15:Z27,"Not Run")</f>
        <v/>
      </c>
    </row>
    <row r="9">
      <c r="A9" s="11" t="inlineStr">
        <is>
          <t>AUTOMATION</t>
        </is>
      </c>
      <c r="B9" s="8">
        <f>COUNTIF(L15:L27,"Automation")</f>
        <v/>
      </c>
    </row>
    <row r="10">
      <c r="A10" s="11" t="inlineStr">
        <is>
          <t>MANUAL</t>
        </is>
      </c>
      <c r="B10" s="8">
        <f>COUNTIF(L15:L27,"Manual")</f>
        <v/>
      </c>
    </row>
    <row r="11">
      <c r="A11" s="12" t="inlineStr">
        <is>
          <t>Number of Testcase</t>
        </is>
      </c>
      <c r="B11" s="13">
        <f>COUNTA(A15:A23)</f>
        <v/>
      </c>
    </row>
    <row r="12">
      <c r="A12" s="14" t="inlineStr">
        <is>
          <t>Validate / Functional / Security</t>
        </is>
      </c>
    </row>
    <row r="13" ht="30" customHeight="1">
      <c r="A13" s="2" t="inlineStr">
        <is>
          <t>ID</t>
        </is>
      </c>
      <c r="B13" s="2" t="inlineStr">
        <is>
          <t>Item</t>
        </is>
      </c>
      <c r="C13" s="2" t="inlineStr">
        <is>
          <t>Testcase Name</t>
        </is>
      </c>
      <c r="D13" s="2" t="inlineStr">
        <is>
          <t>Precondition Test Case</t>
        </is>
      </c>
      <c r="E13" s="2" t="inlineStr">
        <is>
          <t>Test data</t>
        </is>
      </c>
      <c r="F13" s="2" t="inlineStr">
        <is>
          <t>Request</t>
        </is>
      </c>
      <c r="G13" s="10" t="n"/>
      <c r="H13" s="2" t="inlineStr">
        <is>
          <t>Expected Response</t>
        </is>
      </c>
      <c r="I13" s="10" t="n"/>
      <c r="J13" s="2" t="inlineStr">
        <is>
          <t>Expected Database</t>
        </is>
      </c>
      <c r="K13" s="2" t="inlineStr">
        <is>
          <t>Result</t>
        </is>
      </c>
      <c r="L13" s="2" t="inlineStr">
        <is>
          <t>Execution</t>
        </is>
      </c>
      <c r="M13" s="2" t="inlineStr">
        <is>
          <t>Note</t>
        </is>
      </c>
    </row>
    <row r="14" ht="28" customHeight="1">
      <c r="A14" s="17" t="n"/>
      <c r="B14" s="17" t="n"/>
      <c r="C14" s="17" t="n"/>
      <c r="D14" s="17" t="n"/>
      <c r="E14" s="17" t="n"/>
      <c r="F14" s="2" t="inlineStr">
        <is>
          <t>params</t>
        </is>
      </c>
      <c r="G14" s="2" t="inlineStr">
        <is>
          <t>body</t>
        </is>
      </c>
      <c r="H14" s="2" t="inlineStr">
        <is>
          <t>Status code</t>
        </is>
      </c>
      <c r="I14" s="2" t="inlineStr">
        <is>
          <t>Body</t>
        </is>
      </c>
      <c r="J14" s="17" t="n"/>
      <c r="K14" s="17" t="n"/>
      <c r="L14" s="17" t="n"/>
      <c r="M14" s="17" t="n"/>
      <c r="N14" s="18" t="inlineStr">
        <is>
          <t>Case ID</t>
        </is>
      </c>
      <c r="O14" s="18" t="inlineStr">
        <is>
          <t>Module</t>
        </is>
      </c>
      <c r="P14" s="18" t="inlineStr">
        <is>
          <t>Method/Path</t>
        </is>
      </c>
      <c r="Q14" s="18" t="inlineStr">
        <is>
          <t>Viewpoint ID</t>
        </is>
      </c>
      <c r="R14" s="18" t="inlineStr">
        <is>
          <t>Testcase Name</t>
        </is>
      </c>
      <c r="S14" s="18" t="inlineStr">
        <is>
          <t>Precondition</t>
        </is>
      </c>
      <c r="T14" s="18" t="inlineStr">
        <is>
          <t>Request/Test Data</t>
        </is>
      </c>
      <c r="U14" s="18" t="inlineStr">
        <is>
          <t>Steps</t>
        </is>
      </c>
      <c r="V14" s="18" t="inlineStr">
        <is>
          <t>Expected HTTP Status</t>
        </is>
      </c>
      <c r="W14" s="18" t="inlineStr">
        <is>
          <t>Expected Response Body</t>
        </is>
      </c>
      <c r="X14" s="18" t="inlineStr">
        <is>
          <t>Expected Database</t>
        </is>
      </c>
      <c r="Y14" s="18" t="inlineStr">
        <is>
          <t>Priority</t>
        </is>
      </c>
      <c r="Z14" s="18" t="inlineStr">
        <is>
          <t>Execution Result</t>
        </is>
      </c>
      <c r="AA14" s="18" t="inlineStr">
        <is>
          <t>Defect Link</t>
        </is>
      </c>
      <c r="AB14" s="18" t="inlineStr">
        <is>
          <t>Automation Test / Manual Reason</t>
        </is>
      </c>
    </row>
    <row r="15" ht="70" customHeight="1">
      <c r="A15" s="19" t="inlineStr">
        <is>
          <t>API-AUTH-001</t>
        </is>
      </c>
      <c r="B15" s="19" t="inlineStr">
        <is>
          <t>POST /api/v1/auth/register</t>
        </is>
      </c>
      <c r="C15" s="19" t="inlineStr">
        <is>
          <t>Register valid user</t>
        </is>
      </c>
      <c r="D15" s="19" t="inlineStr">
        <is>
          <t>See explicit precondition</t>
        </is>
      </c>
      <c r="E15" s="19" t="inlineStr">
        <is>
          <t>valid email, fullName, strong password, termsAccepted=true</t>
        </is>
      </c>
      <c r="F15" s="19" t="inlineStr"/>
      <c r="G15" s="19" t="inlineStr">
        <is>
          <t>POST /api/v1/auth/register: valid email, fullName, strong password, termsAccepted=true</t>
        </is>
      </c>
      <c r="H15" s="19" t="n">
        <v>201</v>
      </c>
      <c r="I15" s="19" t="inlineStr">
        <is>
          <t>TokenResponse {accessToken:string, refreshToken:string, tokenType:"bearer", expiresIn:integer}</t>
        </is>
      </c>
      <c r="J15" s="19" t="inlineStr">
        <is>
          <t>User, profile, settings and refresh token created; password not returned.</t>
        </is>
      </c>
      <c r="K15" s="19" t="inlineStr">
        <is>
          <t>Passed</t>
        </is>
      </c>
      <c r="L15" s="19" t="inlineStr">
        <is>
          <t>Automation</t>
        </is>
      </c>
      <c r="M15" s="19" t="inlineStr">
        <is>
          <t>Test passed in targeted API suite and full backend suite.</t>
        </is>
      </c>
      <c r="N15" s="20" t="inlineStr">
        <is>
          <t>API-AUTH-001</t>
        </is>
      </c>
      <c r="O15" s="20" t="inlineStr">
        <is>
          <t>Auth</t>
        </is>
      </c>
      <c r="P15" s="20" t="inlineStr">
        <is>
          <t>POST /api/v1/auth/register</t>
        </is>
      </c>
      <c r="Q15" s="20" t="inlineStr">
        <is>
          <t>AUTH-001</t>
        </is>
      </c>
      <c r="R15" s="20" t="inlineStr">
        <is>
          <t>Register valid user</t>
        </is>
      </c>
      <c r="S15" s="20" t="inlineStr">
        <is>
          <t>Registered account/authenticated bearer as specified; see request data.</t>
        </is>
      </c>
      <c r="T15" s="20" t="inlineStr">
        <is>
          <t>valid email, fullName, strong password, termsAccepted=true</t>
        </is>
      </c>
      <c r="U15" s="20" t="inlineStr">
        <is>
          <t>1. Set precondition. 2. Send POST /api/v1/auth/register. 3. Inspect response and database.</t>
        </is>
      </c>
      <c r="V15" s="20" t="n">
        <v>201</v>
      </c>
      <c r="W15" s="20" t="inlineStr">
        <is>
          <t>TokenResponse {accessToken:string, refreshToken:string, tokenType:"bearer", expiresIn:integer}</t>
        </is>
      </c>
      <c r="X15" s="20" t="inlineStr">
        <is>
          <t>User, profile, settings and refresh token created; password not returned.</t>
        </is>
      </c>
      <c r="Y15" s="20" t="inlineStr">
        <is>
          <t>P0</t>
        </is>
      </c>
      <c r="Z15" s="20" t="inlineStr">
        <is>
          <t>Passed</t>
        </is>
      </c>
      <c r="AA15" s="20" t="inlineStr"/>
      <c r="AB15" s="20" t="inlineStr">
        <is>
          <t>test_register_login_me_refresh_logout_flow</t>
        </is>
      </c>
    </row>
    <row r="16" ht="70" customHeight="1">
      <c r="A16" s="21" t="inlineStr">
        <is>
          <t>API-AUTH-002</t>
        </is>
      </c>
      <c r="B16" s="21" t="inlineStr">
        <is>
          <t>POST /api/v1/auth/register</t>
        </is>
      </c>
      <c r="C16" s="21" t="inlineStr">
        <is>
          <t>Required field omitted</t>
        </is>
      </c>
      <c r="D16" s="21" t="inlineStr">
        <is>
          <t>See explicit precondition</t>
        </is>
      </c>
      <c r="E16" s="21" t="inlineStr">
        <is>
          <t>{}</t>
        </is>
      </c>
      <c r="F16" s="21" t="inlineStr"/>
      <c r="G16" s="21" t="inlineStr">
        <is>
          <t>POST /api/v1/auth/register: {}</t>
        </is>
      </c>
      <c r="H16" s="21" t="n">
        <v>422</v>
      </c>
      <c r="I16" s="21" t="inlineStr">
        <is>
          <t>{code:"VALIDATION_ERROR",message:"Request validation failed.",traceId:string,details:{errors:[...]}}</t>
        </is>
      </c>
      <c r="J16" s="21" t="inlineStr">
        <is>
          <t>No unintended mutation.</t>
        </is>
      </c>
      <c r="K16" s="21" t="inlineStr">
        <is>
          <t>Passed</t>
        </is>
      </c>
      <c r="L16" s="21" t="inlineStr">
        <is>
          <t>Automation</t>
        </is>
      </c>
      <c r="M16" s="21" t="inlineStr">
        <is>
          <t>Test passed in targeted API suite and full backend suite.</t>
        </is>
      </c>
      <c r="N16" s="20" t="inlineStr">
        <is>
          <t>API-AUTH-002</t>
        </is>
      </c>
      <c r="O16" s="20" t="inlineStr">
        <is>
          <t>Auth</t>
        </is>
      </c>
      <c r="P16" s="20" t="inlineStr">
        <is>
          <t>POST /api/v1/auth/register</t>
        </is>
      </c>
      <c r="Q16" s="20" t="inlineStr">
        <is>
          <t>AUTH-002</t>
        </is>
      </c>
      <c r="R16" s="20" t="inlineStr">
        <is>
          <t>Required field omitted</t>
        </is>
      </c>
      <c r="S16" s="20" t="inlineStr">
        <is>
          <t>Registered account/authenticated bearer as specified; see request data.</t>
        </is>
      </c>
      <c r="T16" s="20" t="inlineStr">
        <is>
          <t>{}</t>
        </is>
      </c>
      <c r="U16" s="20" t="inlineStr">
        <is>
          <t>1. Set precondition. 2. Send POST /api/v1/auth/register. 3. Inspect response and database.</t>
        </is>
      </c>
      <c r="V16" s="20" t="n">
        <v>422</v>
      </c>
      <c r="W16" s="20" t="inlineStr">
        <is>
          <t>{code:"VALIDATION_ERROR",message:"Request validation failed.",traceId:string,details:{errors:[...]}}</t>
        </is>
      </c>
      <c r="X16" s="20" t="inlineStr">
        <is>
          <t>No unintended mutation.</t>
        </is>
      </c>
      <c r="Y16" s="20" t="inlineStr">
        <is>
          <t>P1</t>
        </is>
      </c>
      <c r="Z16" s="20" t="inlineStr">
        <is>
          <t>Passed</t>
        </is>
      </c>
      <c r="AA16" s="20" t="inlineStr"/>
      <c r="AB16" s="20" t="inlineStr">
        <is>
          <t>test_auth_validation_rejects_missing_fields_and_invalid_email</t>
        </is>
      </c>
    </row>
    <row r="17" ht="70" customHeight="1">
      <c r="A17" s="19" t="inlineStr">
        <is>
          <t>API-AUTH-003</t>
        </is>
      </c>
      <c r="B17" s="19" t="inlineStr">
        <is>
          <t>POST /api/v1/auth/register</t>
        </is>
      </c>
      <c r="C17" s="19" t="inlineStr">
        <is>
          <t>Malformed email</t>
        </is>
      </c>
      <c r="D17" s="19" t="inlineStr">
        <is>
          <t>See explicit precondition</t>
        </is>
      </c>
      <c r="E17" s="19" t="inlineStr">
        <is>
          <t>email=bad; other required fields valid</t>
        </is>
      </c>
      <c r="F17" s="19" t="inlineStr"/>
      <c r="G17" s="19" t="inlineStr">
        <is>
          <t>POST /api/v1/auth/register: email=bad; other required fields valid</t>
        </is>
      </c>
      <c r="H17" s="19" t="n">
        <v>422</v>
      </c>
      <c r="I17" s="19" t="inlineStr">
        <is>
          <t>{code:"VALIDATION_ERROR",message:"Request validation failed.",traceId:string,details:{errors:[...]}}</t>
        </is>
      </c>
      <c r="J17" s="19" t="inlineStr">
        <is>
          <t>No unintended mutation.</t>
        </is>
      </c>
      <c r="K17" s="19" t="inlineStr">
        <is>
          <t>Passed</t>
        </is>
      </c>
      <c r="L17" s="19" t="inlineStr">
        <is>
          <t>Automation</t>
        </is>
      </c>
      <c r="M17" s="19" t="inlineStr">
        <is>
          <t>Test passed in targeted API suite and full backend suite.</t>
        </is>
      </c>
      <c r="N17" s="20" t="inlineStr">
        <is>
          <t>API-AUTH-003</t>
        </is>
      </c>
      <c r="O17" s="20" t="inlineStr">
        <is>
          <t>Auth</t>
        </is>
      </c>
      <c r="P17" s="20" t="inlineStr">
        <is>
          <t>POST /api/v1/auth/register</t>
        </is>
      </c>
      <c r="Q17" s="20" t="inlineStr">
        <is>
          <t>AUTH-003</t>
        </is>
      </c>
      <c r="R17" s="20" t="inlineStr">
        <is>
          <t>Malformed email</t>
        </is>
      </c>
      <c r="S17" s="20" t="inlineStr">
        <is>
          <t>Registered account/authenticated bearer as specified; see request data.</t>
        </is>
      </c>
      <c r="T17" s="20" t="inlineStr">
        <is>
          <t>email=bad; other required fields valid</t>
        </is>
      </c>
      <c r="U17" s="20" t="inlineStr">
        <is>
          <t>1. Set precondition. 2. Send POST /api/v1/auth/register. 3. Inspect response and database.</t>
        </is>
      </c>
      <c r="V17" s="20" t="n">
        <v>422</v>
      </c>
      <c r="W17" s="20" t="inlineStr">
        <is>
          <t>{code:"VALIDATION_ERROR",message:"Request validation failed.",traceId:string,details:{errors:[...]}}</t>
        </is>
      </c>
      <c r="X17" s="20" t="inlineStr">
        <is>
          <t>No unintended mutation.</t>
        </is>
      </c>
      <c r="Y17" s="20" t="inlineStr">
        <is>
          <t>P1</t>
        </is>
      </c>
      <c r="Z17" s="20" t="inlineStr">
        <is>
          <t>Passed</t>
        </is>
      </c>
      <c r="AA17" s="20" t="inlineStr"/>
      <c r="AB17" s="20" t="inlineStr">
        <is>
          <t>test_auth_validation_rejects_missing_fields_and_invalid_email</t>
        </is>
      </c>
    </row>
    <row r="18" ht="70" customHeight="1">
      <c r="A18" s="21" t="inlineStr">
        <is>
          <t>API-AUTH-004</t>
        </is>
      </c>
      <c r="B18" s="21" t="inlineStr">
        <is>
          <t>POST /api/v1/auth/register</t>
        </is>
      </c>
      <c r="C18" s="21" t="inlineStr">
        <is>
          <t>Full name 120 chars / 121 chars</t>
        </is>
      </c>
      <c r="D18" s="21" t="inlineStr">
        <is>
          <t>See explicit precondition</t>
        </is>
      </c>
      <c r="E18" s="21" t="inlineStr">
        <is>
          <t>fullName lengths 120 then 121</t>
        </is>
      </c>
      <c r="F18" s="21" t="inlineStr"/>
      <c r="G18" s="21" t="inlineStr">
        <is>
          <t>POST /api/v1/auth/register: fullName lengths 120 then 121</t>
        </is>
      </c>
      <c r="H18" s="21" t="inlineStr">
        <is>
          <t>201 / 422</t>
        </is>
      </c>
      <c r="I18" s="21" t="inlineStr">
        <is>
          <t>TokenResponse / {code:"VALIDATION_ERROR",message:"Request validation failed.",traceId:string,details:{errors:[...]}}</t>
        </is>
      </c>
      <c r="J18" s="21" t="inlineStr">
        <is>
          <t>120 chars accepted; &gt;120 creates no row.</t>
        </is>
      </c>
      <c r="K18" s="21" t="inlineStr">
        <is>
          <t>Passed</t>
        </is>
      </c>
      <c r="L18" s="21" t="inlineStr">
        <is>
          <t>Automation</t>
        </is>
      </c>
      <c r="M18" s="21" t="inlineStr">
        <is>
          <t>Test passed in targeted API suite and full backend suite.</t>
        </is>
      </c>
      <c r="N18" s="20" t="inlineStr">
        <is>
          <t>API-AUTH-004</t>
        </is>
      </c>
      <c r="O18" s="20" t="inlineStr">
        <is>
          <t>Auth</t>
        </is>
      </c>
      <c r="P18" s="20" t="inlineStr">
        <is>
          <t>POST /api/v1/auth/register</t>
        </is>
      </c>
      <c r="Q18" s="20" t="inlineStr">
        <is>
          <t>AUTH-004</t>
        </is>
      </c>
      <c r="R18" s="20" t="inlineStr">
        <is>
          <t>Full name 120 chars / 121 chars</t>
        </is>
      </c>
      <c r="S18" s="20" t="inlineStr">
        <is>
          <t>Registered account/authenticated bearer as specified; see request data.</t>
        </is>
      </c>
      <c r="T18" s="20" t="inlineStr">
        <is>
          <t>fullName lengths 120 then 121</t>
        </is>
      </c>
      <c r="U18" s="20" t="inlineStr">
        <is>
          <t>1. Set precondition. 2. Send POST /api/v1/auth/register. 3. Inspect response and database.</t>
        </is>
      </c>
      <c r="V18" s="20" t="inlineStr">
        <is>
          <t>201 / 422</t>
        </is>
      </c>
      <c r="W18" s="20" t="inlineStr">
        <is>
          <t>TokenResponse / {code:"VALIDATION_ERROR",message:"Request validation failed.",traceId:string,details:{errors:[...]}}</t>
        </is>
      </c>
      <c r="X18" s="20" t="inlineStr">
        <is>
          <t>120 chars accepted; &gt;120 creates no row.</t>
        </is>
      </c>
      <c r="Y18" s="20" t="inlineStr">
        <is>
          <t>P1</t>
        </is>
      </c>
      <c r="Z18" s="20" t="inlineStr">
        <is>
          <t>Passed</t>
        </is>
      </c>
      <c r="AA18" s="20" t="inlineStr"/>
      <c r="AB18" s="20" t="inlineStr">
        <is>
          <t>test_register_enforces_name_password_and_terms_boundaries</t>
        </is>
      </c>
    </row>
    <row r="19" ht="70" customHeight="1">
      <c r="A19" s="19" t="inlineStr">
        <is>
          <t>API-AUTH-005</t>
        </is>
      </c>
      <c r="B19" s="19" t="inlineStr">
        <is>
          <t>POST /api/v1/auth/register</t>
        </is>
      </c>
      <c r="C19" s="19" t="inlineStr">
        <is>
          <t>Password below 6 / weak password</t>
        </is>
      </c>
      <c r="D19" s="19" t="inlineStr">
        <is>
          <t>See explicit precondition</t>
        </is>
      </c>
      <c r="E19" s="19" t="inlineStr">
        <is>
          <t>5 chars / 6 chars lacking strength</t>
        </is>
      </c>
      <c r="F19" s="19" t="inlineStr"/>
      <c r="G19" s="19" t="inlineStr">
        <is>
          <t>POST /api/v1/auth/register: 5 chars / 6 chars lacking strength</t>
        </is>
      </c>
      <c r="H19" s="19" t="inlineStr">
        <is>
          <t>422 / 400</t>
        </is>
      </c>
      <c r="I19" s="19" t="inlineStr">
        <is>
          <t>VALIDATION_ERROR / PASSWORD_TOO_WEAK</t>
        </is>
      </c>
      <c r="J19" s="19" t="inlineStr">
        <is>
          <t>No user created.</t>
        </is>
      </c>
      <c r="K19" s="19" t="inlineStr">
        <is>
          <t>Passed</t>
        </is>
      </c>
      <c r="L19" s="19" t="inlineStr">
        <is>
          <t>Automation</t>
        </is>
      </c>
      <c r="M19" s="19" t="inlineStr">
        <is>
          <t>Test passed in targeted API suite and full backend suite.</t>
        </is>
      </c>
      <c r="N19" s="20" t="inlineStr">
        <is>
          <t>API-AUTH-005</t>
        </is>
      </c>
      <c r="O19" s="20" t="inlineStr">
        <is>
          <t>Auth</t>
        </is>
      </c>
      <c r="P19" s="20" t="inlineStr">
        <is>
          <t>POST /api/v1/auth/register</t>
        </is>
      </c>
      <c r="Q19" s="20" t="inlineStr">
        <is>
          <t>AUTH-005</t>
        </is>
      </c>
      <c r="R19" s="20" t="inlineStr">
        <is>
          <t>Password below 6 / weak password</t>
        </is>
      </c>
      <c r="S19" s="20" t="inlineStr">
        <is>
          <t>Registered account/authenticated bearer as specified; see request data.</t>
        </is>
      </c>
      <c r="T19" s="20" t="inlineStr">
        <is>
          <t>5 chars / 6 chars lacking strength</t>
        </is>
      </c>
      <c r="U19" s="20" t="inlineStr">
        <is>
          <t>1. Set precondition. 2. Send POST /api/v1/auth/register. 3. Inspect response and database.</t>
        </is>
      </c>
      <c r="V19" s="20" t="inlineStr">
        <is>
          <t>422 / 400</t>
        </is>
      </c>
      <c r="W19" s="20" t="inlineStr">
        <is>
          <t>VALIDATION_ERROR / PASSWORD_TOO_WEAK</t>
        </is>
      </c>
      <c r="X19" s="20" t="inlineStr">
        <is>
          <t>No user created.</t>
        </is>
      </c>
      <c r="Y19" s="20" t="inlineStr">
        <is>
          <t>P1</t>
        </is>
      </c>
      <c r="Z19" s="20" t="inlineStr">
        <is>
          <t>Passed</t>
        </is>
      </c>
      <c r="AA19" s="20" t="inlineStr"/>
      <c r="AB19" s="20" t="inlineStr">
        <is>
          <t>test_register_enforces_name_password_and_terms_boundaries</t>
        </is>
      </c>
    </row>
    <row r="20" ht="70" customHeight="1">
      <c r="A20" s="21" t="inlineStr">
        <is>
          <t>API-AUTH-006</t>
        </is>
      </c>
      <c r="B20" s="21" t="inlineStr">
        <is>
          <t>POST /api/v1/auth/register</t>
        </is>
      </c>
      <c r="C20" s="21" t="inlineStr">
        <is>
          <t>Terms not accepted</t>
        </is>
      </c>
      <c r="D20" s="21" t="inlineStr">
        <is>
          <t>See explicit precondition</t>
        </is>
      </c>
      <c r="E20" s="21" t="inlineStr">
        <is>
          <t>termsAccepted=false</t>
        </is>
      </c>
      <c r="F20" s="21" t="inlineStr"/>
      <c r="G20" s="21" t="inlineStr">
        <is>
          <t>POST /api/v1/auth/register: termsAccepted=false</t>
        </is>
      </c>
      <c r="H20" s="21" t="n">
        <v>400</v>
      </c>
      <c r="I20" s="21" t="inlineStr">
        <is>
          <t>{code:"TERMS_NOT_ACCEPTED",message,traceId,details:{}}</t>
        </is>
      </c>
      <c r="J20" s="21" t="inlineStr">
        <is>
          <t>No user created.</t>
        </is>
      </c>
      <c r="K20" s="21" t="inlineStr">
        <is>
          <t>Passed</t>
        </is>
      </c>
      <c r="L20" s="21" t="inlineStr">
        <is>
          <t>Automation</t>
        </is>
      </c>
      <c r="M20" s="21" t="inlineStr">
        <is>
          <t>Test passed in targeted API suite and full backend suite.</t>
        </is>
      </c>
      <c r="N20" s="20" t="inlineStr">
        <is>
          <t>API-AUTH-006</t>
        </is>
      </c>
      <c r="O20" s="20" t="inlineStr">
        <is>
          <t>Auth</t>
        </is>
      </c>
      <c r="P20" s="20" t="inlineStr">
        <is>
          <t>POST /api/v1/auth/register</t>
        </is>
      </c>
      <c r="Q20" s="20" t="inlineStr">
        <is>
          <t>AUTH-006</t>
        </is>
      </c>
      <c r="R20" s="20" t="inlineStr">
        <is>
          <t>Terms not accepted</t>
        </is>
      </c>
      <c r="S20" s="20" t="inlineStr">
        <is>
          <t>Registered account/authenticated bearer as specified; see request data.</t>
        </is>
      </c>
      <c r="T20" s="20" t="inlineStr">
        <is>
          <t>termsAccepted=false</t>
        </is>
      </c>
      <c r="U20" s="20" t="inlineStr">
        <is>
          <t>1. Set precondition. 2. Send POST /api/v1/auth/register. 3. Inspect response and database.</t>
        </is>
      </c>
      <c r="V20" s="20" t="n">
        <v>400</v>
      </c>
      <c r="W20" s="20" t="inlineStr">
        <is>
          <t>{code:"TERMS_NOT_ACCEPTED",message,traceId,details:{}}</t>
        </is>
      </c>
      <c r="X20" s="20" t="inlineStr">
        <is>
          <t>No user created.</t>
        </is>
      </c>
      <c r="Y20" s="20" t="inlineStr">
        <is>
          <t>P1</t>
        </is>
      </c>
      <c r="Z20" s="20" t="inlineStr">
        <is>
          <t>Passed</t>
        </is>
      </c>
      <c r="AA20" s="20" t="inlineStr"/>
      <c r="AB20" s="20" t="inlineStr">
        <is>
          <t>test_register_enforces_name_password_and_terms_boundaries</t>
        </is>
      </c>
    </row>
    <row r="21" ht="70" customHeight="1">
      <c r="A21" s="19" t="inlineStr">
        <is>
          <t>API-AUTH-007</t>
        </is>
      </c>
      <c r="B21" s="19" t="inlineStr">
        <is>
          <t>POST /api/v1/auth/register</t>
        </is>
      </c>
      <c r="C21" s="19" t="inlineStr">
        <is>
          <t>Duplicate email</t>
        </is>
      </c>
      <c r="D21" s="19" t="inlineStr">
        <is>
          <t>See explicit precondition</t>
        </is>
      </c>
      <c r="E21" s="19" t="inlineStr">
        <is>
          <t>Register same normalized email twice</t>
        </is>
      </c>
      <c r="F21" s="19" t="inlineStr"/>
      <c r="G21" s="19" t="inlineStr">
        <is>
          <t>POST /api/v1/auth/register: Register same normalized email twice</t>
        </is>
      </c>
      <c r="H21" s="19" t="n">
        <v>409</v>
      </c>
      <c r="I21" s="19" t="inlineStr">
        <is>
          <t>{code:"EMAIL_ALREADY_EXISTS",message,traceId,details:{}}</t>
        </is>
      </c>
      <c r="J21" s="19" t="inlineStr">
        <is>
          <t>Exactly one user row.</t>
        </is>
      </c>
      <c r="K21" s="19" t="inlineStr">
        <is>
          <t>Passed</t>
        </is>
      </c>
      <c r="L21" s="19" t="inlineStr">
        <is>
          <t>Automation</t>
        </is>
      </c>
      <c r="M21" s="19" t="inlineStr">
        <is>
          <t>Test passed in targeted API suite and full backend suite.</t>
        </is>
      </c>
      <c r="N21" s="20" t="inlineStr">
        <is>
          <t>API-AUTH-007</t>
        </is>
      </c>
      <c r="O21" s="20" t="inlineStr">
        <is>
          <t>Auth</t>
        </is>
      </c>
      <c r="P21" s="20" t="inlineStr">
        <is>
          <t>POST /api/v1/auth/register</t>
        </is>
      </c>
      <c r="Q21" s="20" t="inlineStr">
        <is>
          <t>AUTH-007</t>
        </is>
      </c>
      <c r="R21" s="20" t="inlineStr">
        <is>
          <t>Duplicate email</t>
        </is>
      </c>
      <c r="S21" s="20" t="inlineStr">
        <is>
          <t>Registered account/authenticated bearer as specified; see request data.</t>
        </is>
      </c>
      <c r="T21" s="20" t="inlineStr">
        <is>
          <t>Register same normalized email twice</t>
        </is>
      </c>
      <c r="U21" s="20" t="inlineStr">
        <is>
          <t>1. Set precondition. 2. Send POST /api/v1/auth/register. 3. Inspect response and database.</t>
        </is>
      </c>
      <c r="V21" s="20" t="n">
        <v>409</v>
      </c>
      <c r="W21" s="20" t="inlineStr">
        <is>
          <t>{code:"EMAIL_ALREADY_EXISTS",message,traceId,details:{}}</t>
        </is>
      </c>
      <c r="X21" s="20" t="inlineStr">
        <is>
          <t>Exactly one user row.</t>
        </is>
      </c>
      <c r="Y21" s="20" t="inlineStr">
        <is>
          <t>P1</t>
        </is>
      </c>
      <c r="Z21" s="20" t="inlineStr">
        <is>
          <t>Passed</t>
        </is>
      </c>
      <c r="AA21" s="20" t="inlineStr"/>
      <c r="AB21" s="20" t="inlineStr">
        <is>
          <t>test_register_duplicate_email_returns_409</t>
        </is>
      </c>
    </row>
    <row r="22" ht="70" customHeight="1">
      <c r="A22" s="21" t="inlineStr">
        <is>
          <t>API-AUTH-008</t>
        </is>
      </c>
      <c r="B22" s="21" t="inlineStr">
        <is>
          <t>POST /api/v1/auth/login</t>
        </is>
      </c>
      <c r="C22" s="21" t="inlineStr">
        <is>
          <t>Valid credentials</t>
        </is>
      </c>
      <c r="D22" s="21" t="inlineStr">
        <is>
          <t>See explicit precondition</t>
        </is>
      </c>
      <c r="E22" s="21" t="inlineStr">
        <is>
          <t>Registered active user; correct email/password</t>
        </is>
      </c>
      <c r="F22" s="21" t="inlineStr"/>
      <c r="G22" s="21" t="inlineStr">
        <is>
          <t>POST /api/v1/auth/login: Registered active user; correct email/password</t>
        </is>
      </c>
      <c r="H22" s="21" t="n">
        <v>200</v>
      </c>
      <c r="I22" s="21" t="inlineStr">
        <is>
          <t>TokenResponse {accessToken:string, refreshToken:string, tokenType:"bearer", expiresIn:integer}</t>
        </is>
      </c>
      <c r="J22" s="21" t="inlineStr">
        <is>
          <t>Refresh token inserted; hash unchanged.</t>
        </is>
      </c>
      <c r="K22" s="21" t="inlineStr">
        <is>
          <t>Passed</t>
        </is>
      </c>
      <c r="L22" s="21" t="inlineStr">
        <is>
          <t>Automation</t>
        </is>
      </c>
      <c r="M22" s="21" t="inlineStr">
        <is>
          <t>Test passed in targeted API suite and full backend suite.</t>
        </is>
      </c>
      <c r="N22" s="20" t="inlineStr">
        <is>
          <t>API-AUTH-008</t>
        </is>
      </c>
      <c r="O22" s="20" t="inlineStr">
        <is>
          <t>Auth</t>
        </is>
      </c>
      <c r="P22" s="20" t="inlineStr">
        <is>
          <t>POST /api/v1/auth/login</t>
        </is>
      </c>
      <c r="Q22" s="20" t="inlineStr">
        <is>
          <t>AUTH-008</t>
        </is>
      </c>
      <c r="R22" s="20" t="inlineStr">
        <is>
          <t>Valid credentials</t>
        </is>
      </c>
      <c r="S22" s="20" t="inlineStr">
        <is>
          <t>Registered account/authenticated bearer as specified; see request data.</t>
        </is>
      </c>
      <c r="T22" s="20" t="inlineStr">
        <is>
          <t>Registered active user; correct email/password</t>
        </is>
      </c>
      <c r="U22" s="20" t="inlineStr">
        <is>
          <t>1. Set precondition. 2. Send POST /api/v1/auth/login. 3. Inspect response and database.</t>
        </is>
      </c>
      <c r="V22" s="20" t="n">
        <v>200</v>
      </c>
      <c r="W22" s="20" t="inlineStr">
        <is>
          <t>TokenResponse {accessToken:string, refreshToken:string, tokenType:"bearer", expiresIn:integer}</t>
        </is>
      </c>
      <c r="X22" s="20" t="inlineStr">
        <is>
          <t>Refresh token inserted; hash unchanged.</t>
        </is>
      </c>
      <c r="Y22" s="20" t="inlineStr">
        <is>
          <t>P0</t>
        </is>
      </c>
      <c r="Z22" s="20" t="inlineStr">
        <is>
          <t>Passed</t>
        </is>
      </c>
      <c r="AA22" s="20" t="inlineStr"/>
      <c r="AB22" s="20" t="inlineStr">
        <is>
          <t>test_register_login_me_refresh_logout_flow</t>
        </is>
      </c>
    </row>
    <row r="23" ht="70" customHeight="1">
      <c r="A23" s="19" t="inlineStr">
        <is>
          <t>API-AUTH-009</t>
        </is>
      </c>
      <c r="B23" s="19" t="inlineStr">
        <is>
          <t>POST /api/v1/auth/login</t>
        </is>
      </c>
      <c r="C23" s="19" t="inlineStr">
        <is>
          <t>Wrong password or unknown email</t>
        </is>
      </c>
      <c r="D23" s="19" t="inlineStr">
        <is>
          <t>See explicit precondition</t>
        </is>
      </c>
      <c r="E23" s="19" t="inlineStr">
        <is>
          <t>Wrong password / unregistered email</t>
        </is>
      </c>
      <c r="F23" s="19" t="inlineStr"/>
      <c r="G23" s="19" t="inlineStr">
        <is>
          <t>POST /api/v1/auth/login: Wrong password / unregistered email</t>
        </is>
      </c>
      <c r="H23" s="19" t="n">
        <v>401</v>
      </c>
      <c r="I23" s="19" t="inlineStr">
        <is>
          <t>{code:"INVALID_CREDENTIALS",message,traceId,details:{}}</t>
        </is>
      </c>
      <c r="J23" s="19" t="inlineStr">
        <is>
          <t>No token; failed attempt counter may increment.</t>
        </is>
      </c>
      <c r="K23" s="19" t="inlineStr">
        <is>
          <t>Passed</t>
        </is>
      </c>
      <c r="L23" s="19" t="inlineStr">
        <is>
          <t>Automation</t>
        </is>
      </c>
      <c r="M23" s="19" t="inlineStr">
        <is>
          <t>Test passed in targeted API suite and full backend suite.</t>
        </is>
      </c>
      <c r="N23" s="20" t="inlineStr">
        <is>
          <t>API-AUTH-009</t>
        </is>
      </c>
      <c r="O23" s="20" t="inlineStr">
        <is>
          <t>Auth</t>
        </is>
      </c>
      <c r="P23" s="20" t="inlineStr">
        <is>
          <t>POST /api/v1/auth/login</t>
        </is>
      </c>
      <c r="Q23" s="20" t="inlineStr">
        <is>
          <t>AUTH-009</t>
        </is>
      </c>
      <c r="R23" s="20" t="inlineStr">
        <is>
          <t>Wrong password or unknown email</t>
        </is>
      </c>
      <c r="S23" s="20" t="inlineStr">
        <is>
          <t>Registered account/authenticated bearer as specified; see request data.</t>
        </is>
      </c>
      <c r="T23" s="20" t="inlineStr">
        <is>
          <t>Wrong password / unregistered email</t>
        </is>
      </c>
      <c r="U23" s="20" t="inlineStr">
        <is>
          <t>1. Set precondition. 2. Send POST /api/v1/auth/login. 3. Inspect response and database.</t>
        </is>
      </c>
      <c r="V23" s="20" t="n">
        <v>401</v>
      </c>
      <c r="W23" s="20" t="inlineStr">
        <is>
          <t>{code:"INVALID_CREDENTIALS",message,traceId,details:{}}</t>
        </is>
      </c>
      <c r="X23" s="20" t="inlineStr">
        <is>
          <t>No token; failed attempt counter may increment.</t>
        </is>
      </c>
      <c r="Y23" s="20" t="inlineStr">
        <is>
          <t>P1</t>
        </is>
      </c>
      <c r="Z23" s="20" t="inlineStr">
        <is>
          <t>Passed</t>
        </is>
      </c>
      <c r="AA23" s="20" t="inlineStr"/>
      <c r="AB23" s="20" t="inlineStr">
        <is>
          <t>test_login_wrong_password_returns_401</t>
        </is>
      </c>
    </row>
    <row r="24" ht="70" customHeight="1">
      <c r="A24" s="20" t="inlineStr">
        <is>
          <t>API-AUTH-010</t>
        </is>
      </c>
      <c r="B24" s="20" t="inlineStr">
        <is>
          <t>POST /api/v1/auth/login</t>
        </is>
      </c>
      <c r="C24" s="20" t="inlineStr">
        <is>
          <t>Malformed email / missing password</t>
        </is>
      </c>
      <c r="D24" s="20" t="inlineStr">
        <is>
          <t>See explicit precondition</t>
        </is>
      </c>
      <c r="E24" s="20" t="inlineStr">
        <is>
          <t>email=bad or omit password</t>
        </is>
      </c>
      <c r="F24" s="20" t="inlineStr"/>
      <c r="G24" s="20" t="inlineStr">
        <is>
          <t>POST /api/v1/auth/login: email=bad or omit password</t>
        </is>
      </c>
      <c r="H24" s="20" t="n">
        <v>422</v>
      </c>
      <c r="I24" s="20" t="inlineStr">
        <is>
          <t>{code:"VALIDATION_ERROR",message:"Request validation failed.",traceId:string,details:{errors:[...]}}</t>
        </is>
      </c>
      <c r="J24" s="20" t="inlineStr">
        <is>
          <t>No unintended mutation.</t>
        </is>
      </c>
      <c r="K24" s="20" t="inlineStr">
        <is>
          <t>Passed</t>
        </is>
      </c>
      <c r="L24" s="20" t="inlineStr">
        <is>
          <t>Automation</t>
        </is>
      </c>
      <c r="M24" s="20" t="inlineStr">
        <is>
          <t>Test passed in targeted API suite and full backend suite.</t>
        </is>
      </c>
      <c r="N24" s="20" t="inlineStr">
        <is>
          <t>API-AUTH-010</t>
        </is>
      </c>
      <c r="O24" s="20" t="inlineStr">
        <is>
          <t>Auth</t>
        </is>
      </c>
      <c r="P24" s="20" t="inlineStr">
        <is>
          <t>POST /api/v1/auth/login</t>
        </is>
      </c>
      <c r="Q24" s="20" t="inlineStr">
        <is>
          <t>AUTH-010</t>
        </is>
      </c>
      <c r="R24" s="20" t="inlineStr">
        <is>
          <t>Malformed email / missing password</t>
        </is>
      </c>
      <c r="S24" s="20" t="inlineStr">
        <is>
          <t>Registered account/authenticated bearer as specified; see request data.</t>
        </is>
      </c>
      <c r="T24" s="20" t="inlineStr">
        <is>
          <t>email=bad or omit password</t>
        </is>
      </c>
      <c r="U24" s="20" t="inlineStr">
        <is>
          <t>1. Set precondition. 2. Send POST /api/v1/auth/login. 3. Inspect response and database.</t>
        </is>
      </c>
      <c r="V24" s="20" t="n">
        <v>422</v>
      </c>
      <c r="W24" s="20" t="inlineStr">
        <is>
          <t>{code:"VALIDATION_ERROR",message:"Request validation failed.",traceId:string,details:{errors:[...]}}</t>
        </is>
      </c>
      <c r="X24" s="20" t="inlineStr">
        <is>
          <t>No unintended mutation.</t>
        </is>
      </c>
      <c r="Y24" s="20" t="inlineStr">
        <is>
          <t>P1</t>
        </is>
      </c>
      <c r="Z24" s="20" t="inlineStr">
        <is>
          <t>Passed</t>
        </is>
      </c>
      <c r="AA24" s="20" t="inlineStr"/>
      <c r="AB24" s="20" t="inlineStr">
        <is>
          <t>test_auth_validation_rejects_missing_fields_and_invalid_email</t>
        </is>
      </c>
    </row>
    <row r="25" ht="70" customHeight="1">
      <c r="A25" s="20" t="inlineStr">
        <is>
          <t>API-AUTH-011</t>
        </is>
      </c>
      <c r="B25" s="20" t="inlineStr">
        <is>
          <t>POST /api/v1/auth/google</t>
        </is>
      </c>
      <c r="C25" s="20" t="inlineStr">
        <is>
          <t>Valid Google identity using strict fake verifier</t>
        </is>
      </c>
      <c r="D25" s="20" t="inlineStr">
        <is>
          <t>See explicit precondition</t>
        </is>
      </c>
      <c r="E25" s="20" t="inlineStr">
        <is>
          <t>idToken=base64url(JSON{sub,email,name}); no network</t>
        </is>
      </c>
      <c r="F25" s="20" t="inlineStr"/>
      <c r="G25" s="20" t="inlineStr">
        <is>
          <t>POST /api/v1/auth/google: idToken=base64url(JSON{sub,email,name}); no network</t>
        </is>
      </c>
      <c r="H25" s="20" t="n">
        <v>200</v>
      </c>
      <c r="I25" s="20" t="inlineStr">
        <is>
          <t>TokenResponse {accessToken:string, refreshToken:string, tokenType:"bearer", expiresIn:integer}</t>
        </is>
      </c>
      <c r="J25" s="20" t="inlineStr">
        <is>
          <t>User/profile/settings and identity created or linked.</t>
        </is>
      </c>
      <c r="K25" s="20" t="inlineStr">
        <is>
          <t>Passed</t>
        </is>
      </c>
      <c r="L25" s="20" t="inlineStr">
        <is>
          <t>Automation</t>
        </is>
      </c>
      <c r="M25" s="20" t="inlineStr">
        <is>
          <t>Test passed in targeted API suite and full backend suite.</t>
        </is>
      </c>
      <c r="N25" s="20" t="inlineStr">
        <is>
          <t>API-AUTH-011</t>
        </is>
      </c>
      <c r="O25" s="20" t="inlineStr">
        <is>
          <t>Auth</t>
        </is>
      </c>
      <c r="P25" s="20" t="inlineStr">
        <is>
          <t>POST /api/v1/auth/google</t>
        </is>
      </c>
      <c r="Q25" s="20" t="inlineStr">
        <is>
          <t>AUTH-011</t>
        </is>
      </c>
      <c r="R25" s="20" t="inlineStr">
        <is>
          <t>Valid Google identity using strict fake verifier</t>
        </is>
      </c>
      <c r="S25" s="20" t="inlineStr">
        <is>
          <t>Registered account/authenticated bearer as specified; see request data.</t>
        </is>
      </c>
      <c r="T25" s="20" t="inlineStr">
        <is>
          <t>idToken=base64url(JSON{sub,email,name}); no network</t>
        </is>
      </c>
      <c r="U25" s="20" t="inlineStr">
        <is>
          <t>1. Set precondition. 2. Send POST /api/v1/auth/google. 3. Inspect response and database.</t>
        </is>
      </c>
      <c r="V25" s="20" t="n">
        <v>200</v>
      </c>
      <c r="W25" s="20" t="inlineStr">
        <is>
          <t>TokenResponse {accessToken:string, refreshToken:string, tokenType:"bearer", expiresIn:integer}</t>
        </is>
      </c>
      <c r="X25" s="20" t="inlineStr">
        <is>
          <t>User/profile/settings and identity created or linked.</t>
        </is>
      </c>
      <c r="Y25" s="20" t="inlineStr">
        <is>
          <t>P0</t>
        </is>
      </c>
      <c r="Z25" s="20" t="inlineStr">
        <is>
          <t>Passed</t>
        </is>
      </c>
      <c r="AA25" s="20" t="inlineStr"/>
      <c r="AB25" s="20" t="inlineStr">
        <is>
          <t>test_google_login_new_user_and_link_existing</t>
        </is>
      </c>
    </row>
    <row r="26" ht="70" customHeight="1">
      <c r="A26" s="20" t="inlineStr">
        <is>
          <t>API-AUTH-012</t>
        </is>
      </c>
      <c r="B26" s="20" t="inlineStr">
        <is>
          <t>POST /api/v1/auth/google</t>
        </is>
      </c>
      <c r="C26" s="20" t="inlineStr">
        <is>
          <t>Invalid fake Google token</t>
        </is>
      </c>
      <c r="D26" s="20" t="inlineStr">
        <is>
          <t>See explicit precondition</t>
        </is>
      </c>
      <c r="E26" s="20" t="inlineStr">
        <is>
          <t>idToken=invalid-google-token; strict fake verifier</t>
        </is>
      </c>
      <c r="F26" s="20" t="inlineStr"/>
      <c r="G26" s="20" t="inlineStr">
        <is>
          <t>POST /api/v1/auth/google: idToken=invalid-google-token; strict fake verifier</t>
        </is>
      </c>
      <c r="H26" s="20" t="n">
        <v>400</v>
      </c>
      <c r="I26" s="20" t="inlineStr">
        <is>
          <t>{code:"INVALID_GOOGLE_TOKEN",message,traceId,details:{error}}</t>
        </is>
      </c>
      <c r="J26" s="20" t="inlineStr">
        <is>
          <t>No user or identity created.</t>
        </is>
      </c>
      <c r="K26" s="20" t="inlineStr">
        <is>
          <t>Passed</t>
        </is>
      </c>
      <c r="L26" s="20" t="inlineStr">
        <is>
          <t>Automation</t>
        </is>
      </c>
      <c r="M26" s="20" t="inlineStr">
        <is>
          <t>Test passed in targeted API suite and full backend suite.</t>
        </is>
      </c>
      <c r="N26" s="20" t="inlineStr">
        <is>
          <t>API-AUTH-012</t>
        </is>
      </c>
      <c r="O26" s="20" t="inlineStr">
        <is>
          <t>Auth</t>
        </is>
      </c>
      <c r="P26" s="20" t="inlineStr">
        <is>
          <t>POST /api/v1/auth/google</t>
        </is>
      </c>
      <c r="Q26" s="20" t="inlineStr">
        <is>
          <t>AUTH-012</t>
        </is>
      </c>
      <c r="R26" s="20" t="inlineStr">
        <is>
          <t>Invalid fake Google token</t>
        </is>
      </c>
      <c r="S26" s="20" t="inlineStr">
        <is>
          <t>Registered account/authenticated bearer as specified; see request data.</t>
        </is>
      </c>
      <c r="T26" s="20" t="inlineStr">
        <is>
          <t>idToken=invalid-google-token; strict fake verifier</t>
        </is>
      </c>
      <c r="U26" s="20" t="inlineStr">
        <is>
          <t>1. Set precondition. 2. Send POST /api/v1/auth/google. 3. Inspect response and database.</t>
        </is>
      </c>
      <c r="V26" s="20" t="n">
        <v>400</v>
      </c>
      <c r="W26" s="20" t="inlineStr">
        <is>
          <t>{code:"INVALID_GOOGLE_TOKEN",message,traceId,details:{error}}</t>
        </is>
      </c>
      <c r="X26" s="20" t="inlineStr">
        <is>
          <t>No user or identity created.</t>
        </is>
      </c>
      <c r="Y26" s="20" t="inlineStr">
        <is>
          <t>P1</t>
        </is>
      </c>
      <c r="Z26" s="20" t="inlineStr">
        <is>
          <t>Passed</t>
        </is>
      </c>
      <c r="AA26" s="20" t="inlineStr"/>
      <c r="AB26" s="20" t="inlineStr">
        <is>
          <t>test_google_login_rejects_invalid_token_without_network</t>
        </is>
      </c>
    </row>
    <row r="27" ht="70" customHeight="1">
      <c r="A27" s="20" t="inlineStr">
        <is>
          <t>API-AUTH-013</t>
        </is>
      </c>
      <c r="B27" s="20" t="inlineStr">
        <is>
          <t>POST /api/v1/auth/google</t>
        </is>
      </c>
      <c r="C27" s="20" t="inlineStr">
        <is>
          <t>Missing idToken</t>
        </is>
      </c>
      <c r="D27" s="20" t="inlineStr">
        <is>
          <t>See explicit precondition</t>
        </is>
      </c>
      <c r="E27" s="20" t="inlineStr">
        <is>
          <t>{}</t>
        </is>
      </c>
      <c r="F27" s="20" t="inlineStr"/>
      <c r="G27" s="20" t="inlineStr">
        <is>
          <t>POST /api/v1/auth/google: {}</t>
        </is>
      </c>
      <c r="H27" s="20" t="n">
        <v>422</v>
      </c>
      <c r="I27" s="20" t="inlineStr">
        <is>
          <t>{code:"VALIDATION_ERROR",message:"Request validation failed.",traceId:string,details:{errors:[...]}}</t>
        </is>
      </c>
      <c r="J27" s="20" t="inlineStr">
        <is>
          <t>No unintended mutation.</t>
        </is>
      </c>
      <c r="K27" s="20" t="inlineStr">
        <is>
          <t>Passed</t>
        </is>
      </c>
      <c r="L27" s="20" t="inlineStr">
        <is>
          <t>Automation</t>
        </is>
      </c>
      <c r="M27" s="20" t="inlineStr">
        <is>
          <t>Test passed in targeted API suite and full backend suite.</t>
        </is>
      </c>
      <c r="N27" s="20" t="inlineStr">
        <is>
          <t>API-AUTH-013</t>
        </is>
      </c>
      <c r="O27" s="20" t="inlineStr">
        <is>
          <t>Auth</t>
        </is>
      </c>
      <c r="P27" s="20" t="inlineStr">
        <is>
          <t>POST /api/v1/auth/google</t>
        </is>
      </c>
      <c r="Q27" s="20" t="inlineStr">
        <is>
          <t>AUTH-013</t>
        </is>
      </c>
      <c r="R27" s="20" t="inlineStr">
        <is>
          <t>Missing idToken</t>
        </is>
      </c>
      <c r="S27" s="20" t="inlineStr">
        <is>
          <t>Registered account/authenticated bearer as specified; see request data.</t>
        </is>
      </c>
      <c r="T27" s="20" t="inlineStr">
        <is>
          <t>{}</t>
        </is>
      </c>
      <c r="U27" s="20" t="inlineStr">
        <is>
          <t>1. Set precondition. 2. Send POST /api/v1/auth/google. 3. Inspect response and database.</t>
        </is>
      </c>
      <c r="V27" s="20" t="n">
        <v>422</v>
      </c>
      <c r="W27" s="20" t="inlineStr">
        <is>
          <t>{code:"VALIDATION_ERROR",message:"Request validation failed.",traceId:string,details:{errors:[...]}}</t>
        </is>
      </c>
      <c r="X27" s="20" t="inlineStr">
        <is>
          <t>No unintended mutation.</t>
        </is>
      </c>
      <c r="Y27" s="20" t="inlineStr">
        <is>
          <t>P1</t>
        </is>
      </c>
      <c r="Z27" s="20" t="inlineStr">
        <is>
          <t>Passed</t>
        </is>
      </c>
      <c r="AA27" s="20" t="inlineStr"/>
      <c r="AB27" s="20" t="inlineStr">
        <is>
          <t>test_auth_validation_rejects_missing_fields_and_invalid_email</t>
        </is>
      </c>
    </row>
  </sheetData>
  <autoFilter ref="A14:AB27"/>
  <mergeCells count="15">
    <mergeCell ref="B3:G3"/>
    <mergeCell ref="B2:G2"/>
    <mergeCell ref="J13:J14"/>
    <mergeCell ref="L13:L14"/>
    <mergeCell ref="M13:M14"/>
    <mergeCell ref="A13:A14"/>
    <mergeCell ref="B13:B14"/>
    <mergeCell ref="E13:E14"/>
    <mergeCell ref="D13:D14"/>
    <mergeCell ref="B1:G1"/>
    <mergeCell ref="A12:M12"/>
    <mergeCell ref="K13:K14"/>
    <mergeCell ref="F13:G13"/>
    <mergeCell ref="H13:I13"/>
    <mergeCell ref="C13:C14"/>
  </mergeCells>
  <dataValidations count="2">
    <dataValidation sqref="K15:K23" showDropDown="0" showInputMessage="0" showErrorMessage="0" allowBlank="1" type="list">
      <formula1>"Passed,Failed,Blocked,Not run,N/A"</formula1>
    </dataValidation>
    <dataValidation sqref="L15:L23" showDropDown="0" showInputMessage="0" showErrorMessage="0" allowBlank="1" type="list">
      <formula1>"Automation,Manual,N/A"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19"/>
  <sheetViews>
    <sheetView showGridLines="1" zoomScale="85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28" customWidth="1" min="4" max="4"/>
    <col width="24" customWidth="1" min="5" max="5"/>
    <col width="20" customWidth="1" min="6" max="6"/>
    <col width="30" customWidth="1" min="7" max="7"/>
    <col width="20" customWidth="1" min="8" max="8"/>
    <col width="38" customWidth="1" min="9" max="9"/>
    <col width="34" customWidth="1" min="10" max="10"/>
    <col width="13" customWidth="1" min="11" max="11"/>
    <col width="14" customWidth="1" min="12" max="12"/>
    <col width="30" customWidth="1" min="13" max="13"/>
    <col width="16" customWidth="1" min="14" max="14"/>
    <col width="13" customWidth="1" min="15" max="15"/>
    <col width="36" customWidth="1" min="16" max="16"/>
    <col width="17" customWidth="1" min="17" max="17"/>
    <col width="32" customWidth="1" min="18" max="18"/>
    <col width="33" customWidth="1" min="19" max="19"/>
    <col width="38" customWidth="1" min="20" max="20"/>
    <col width="42" customWidth="1" min="21" max="21"/>
    <col width="18" customWidth="1" min="22" max="22"/>
    <col width="45" customWidth="1" min="23" max="23"/>
    <col width="42" customWidth="1" min="24" max="24"/>
    <col width="12" customWidth="1" min="25" max="25"/>
    <col width="16" customWidth="1" min="26" max="26"/>
    <col width="18" customWidth="1" min="27" max="27"/>
    <col width="43" customWidth="1" min="28" max="28"/>
  </cols>
  <sheetData>
    <row r="1">
      <c r="A1" s="7" t="inlineStr">
        <is>
          <t>Project Name</t>
        </is>
      </c>
      <c r="B1" s="8" t="inlineStr">
        <is>
          <t>TalkWithMe</t>
        </is>
      </c>
      <c r="C1" s="9" t="n"/>
      <c r="D1" s="9" t="n"/>
      <c r="E1" s="9" t="n"/>
      <c r="F1" s="9" t="n"/>
      <c r="G1" s="10" t="n"/>
    </row>
    <row r="2">
      <c r="A2" s="7" t="inlineStr">
        <is>
          <t>API Name</t>
        </is>
      </c>
      <c r="B2" s="8" t="inlineStr">
        <is>
          <t>API002 Auth Token</t>
        </is>
      </c>
      <c r="C2" s="9" t="n"/>
      <c r="D2" s="9" t="n"/>
      <c r="E2" s="9" t="n"/>
      <c r="F2" s="9" t="n"/>
      <c r="G2" s="10" t="n"/>
    </row>
    <row r="3">
      <c r="A3" s="7" t="inlineStr">
        <is>
          <t>Owner</t>
        </is>
      </c>
      <c r="B3" s="8" t="inlineStr">
        <is>
          <t>QA / Backend Team</t>
        </is>
      </c>
      <c r="C3" s="9" t="n"/>
      <c r="D3" s="9" t="n"/>
      <c r="E3" s="9" t="n"/>
      <c r="F3" s="9" t="n"/>
      <c r="G3" s="10" t="n"/>
    </row>
    <row r="5">
      <c r="A5" s="11" t="inlineStr">
        <is>
          <t>PASSED</t>
        </is>
      </c>
      <c r="B5" s="8">
        <f>COUNTIF(Z15:Z19,"Passed")</f>
        <v/>
      </c>
    </row>
    <row r="6">
      <c r="A6" s="11" t="inlineStr">
        <is>
          <t>FAILED</t>
        </is>
      </c>
      <c r="B6" s="8">
        <f>COUNTIF(Z15:Z19,"Failed")</f>
        <v/>
      </c>
    </row>
    <row r="7">
      <c r="A7" s="11" t="inlineStr">
        <is>
          <t>PENDING</t>
        </is>
      </c>
      <c r="B7" s="8">
        <f>COUNTIF(Z15:Z19,"Blocked")</f>
        <v/>
      </c>
    </row>
    <row r="8">
      <c r="A8" s="11" t="inlineStr">
        <is>
          <t>NOT RUN</t>
        </is>
      </c>
      <c r="B8" s="8">
        <f>COUNTIF(Z15:Z19,"Not Run")</f>
        <v/>
      </c>
    </row>
    <row r="9">
      <c r="A9" s="11" t="inlineStr">
        <is>
          <t>AUTOMATION</t>
        </is>
      </c>
      <c r="B9" s="8">
        <f>COUNTIF(L15:L19,"Automation")</f>
        <v/>
      </c>
    </row>
    <row r="10">
      <c r="A10" s="11" t="inlineStr">
        <is>
          <t>MANUAL</t>
        </is>
      </c>
      <c r="B10" s="8">
        <f>COUNTIF(L15:L19,"Manual")</f>
        <v/>
      </c>
    </row>
    <row r="11">
      <c r="A11" s="12" t="inlineStr">
        <is>
          <t>Number of Testcase</t>
        </is>
      </c>
      <c r="B11" s="13">
        <f>COUNTA(A15:A17)</f>
        <v/>
      </c>
    </row>
    <row r="12">
      <c r="A12" s="14" t="inlineStr">
        <is>
          <t>Validate / Functional / Security</t>
        </is>
      </c>
    </row>
    <row r="13" ht="30" customHeight="1">
      <c r="A13" s="2" t="inlineStr">
        <is>
          <t>ID</t>
        </is>
      </c>
      <c r="B13" s="2" t="inlineStr">
        <is>
          <t>Item</t>
        </is>
      </c>
      <c r="C13" s="2" t="inlineStr">
        <is>
          <t>Testcase Name</t>
        </is>
      </c>
      <c r="D13" s="2" t="inlineStr">
        <is>
          <t>Precondition Test Case</t>
        </is>
      </c>
      <c r="E13" s="2" t="inlineStr">
        <is>
          <t>Test data</t>
        </is>
      </c>
      <c r="F13" s="2" t="inlineStr">
        <is>
          <t>Request</t>
        </is>
      </c>
      <c r="G13" s="10" t="n"/>
      <c r="H13" s="2" t="inlineStr">
        <is>
          <t>Expected Response</t>
        </is>
      </c>
      <c r="I13" s="10" t="n"/>
      <c r="J13" s="2" t="inlineStr">
        <is>
          <t>Expected Database</t>
        </is>
      </c>
      <c r="K13" s="2" t="inlineStr">
        <is>
          <t>Result</t>
        </is>
      </c>
      <c r="L13" s="2" t="inlineStr">
        <is>
          <t>Execution</t>
        </is>
      </c>
      <c r="M13" s="2" t="inlineStr">
        <is>
          <t>Note</t>
        </is>
      </c>
    </row>
    <row r="14" ht="28" customHeight="1">
      <c r="A14" s="17" t="n"/>
      <c r="B14" s="17" t="n"/>
      <c r="C14" s="17" t="n"/>
      <c r="D14" s="17" t="n"/>
      <c r="E14" s="17" t="n"/>
      <c r="F14" s="2" t="inlineStr">
        <is>
          <t>params</t>
        </is>
      </c>
      <c r="G14" s="2" t="inlineStr">
        <is>
          <t>body</t>
        </is>
      </c>
      <c r="H14" s="2" t="inlineStr">
        <is>
          <t>Status code</t>
        </is>
      </c>
      <c r="I14" s="2" t="inlineStr">
        <is>
          <t>Body</t>
        </is>
      </c>
      <c r="J14" s="17" t="n"/>
      <c r="K14" s="17" t="n"/>
      <c r="L14" s="17" t="n"/>
      <c r="M14" s="17" t="n"/>
      <c r="N14" s="18" t="inlineStr">
        <is>
          <t>Case ID</t>
        </is>
      </c>
      <c r="O14" s="18" t="inlineStr">
        <is>
          <t>Module</t>
        </is>
      </c>
      <c r="P14" s="18" t="inlineStr">
        <is>
          <t>Method/Path</t>
        </is>
      </c>
      <c r="Q14" s="18" t="inlineStr">
        <is>
          <t>Viewpoint ID</t>
        </is>
      </c>
      <c r="R14" s="18" t="inlineStr">
        <is>
          <t>Testcase Name</t>
        </is>
      </c>
      <c r="S14" s="18" t="inlineStr">
        <is>
          <t>Precondition</t>
        </is>
      </c>
      <c r="T14" s="18" t="inlineStr">
        <is>
          <t>Request/Test Data</t>
        </is>
      </c>
      <c r="U14" s="18" t="inlineStr">
        <is>
          <t>Steps</t>
        </is>
      </c>
      <c r="V14" s="18" t="inlineStr">
        <is>
          <t>Expected HTTP Status</t>
        </is>
      </c>
      <c r="W14" s="18" t="inlineStr">
        <is>
          <t>Expected Response Body</t>
        </is>
      </c>
      <c r="X14" s="18" t="inlineStr">
        <is>
          <t>Expected Database</t>
        </is>
      </c>
      <c r="Y14" s="18" t="inlineStr">
        <is>
          <t>Priority</t>
        </is>
      </c>
      <c r="Z14" s="18" t="inlineStr">
        <is>
          <t>Execution Result</t>
        </is>
      </c>
      <c r="AA14" s="18" t="inlineStr">
        <is>
          <t>Defect Link</t>
        </is>
      </c>
      <c r="AB14" s="18" t="inlineStr">
        <is>
          <t>Automation Test / Manual Reason</t>
        </is>
      </c>
    </row>
    <row r="15" ht="70" customHeight="1">
      <c r="A15" s="19" t="inlineStr">
        <is>
          <t>API-AUTH-014</t>
        </is>
      </c>
      <c r="B15" s="19" t="inlineStr">
        <is>
          <t>POST /api/v1/auth/refresh</t>
        </is>
      </c>
      <c r="C15" s="19" t="inlineStr">
        <is>
          <t>Rotate valid token</t>
        </is>
      </c>
      <c r="D15" s="19" t="inlineStr">
        <is>
          <t>See explicit precondition</t>
        </is>
      </c>
      <c r="E15" s="19" t="inlineStr">
        <is>
          <t>Issued unused refreshToken</t>
        </is>
      </c>
      <c r="F15" s="19" t="inlineStr"/>
      <c r="G15" s="19" t="inlineStr">
        <is>
          <t>POST /api/v1/auth/refresh: Issued unused refreshToken</t>
        </is>
      </c>
      <c r="H15" s="19" t="n">
        <v>200</v>
      </c>
      <c r="I15" s="19" t="inlineStr">
        <is>
          <t>TokenResponse {accessToken:string, refreshToken:string, tokenType:"bearer", expiresIn:integer}</t>
        </is>
      </c>
      <c r="J15" s="19" t="inlineStr">
        <is>
          <t>Old token revoked and linked; new token inserted.</t>
        </is>
      </c>
      <c r="K15" s="19" t="inlineStr">
        <is>
          <t>Passed</t>
        </is>
      </c>
      <c r="L15" s="19" t="inlineStr">
        <is>
          <t>Automation</t>
        </is>
      </c>
      <c r="M15" s="19" t="inlineStr">
        <is>
          <t>Test passed in targeted API suite and full backend suite.</t>
        </is>
      </c>
      <c r="N15" s="20" t="inlineStr">
        <is>
          <t>API-AUTH-014</t>
        </is>
      </c>
      <c r="O15" s="20" t="inlineStr">
        <is>
          <t>Auth</t>
        </is>
      </c>
      <c r="P15" s="20" t="inlineStr">
        <is>
          <t>POST /api/v1/auth/refresh</t>
        </is>
      </c>
      <c r="Q15" s="20" t="inlineStr">
        <is>
          <t>AUTH-014</t>
        </is>
      </c>
      <c r="R15" s="20" t="inlineStr">
        <is>
          <t>Rotate valid token</t>
        </is>
      </c>
      <c r="S15" s="20" t="inlineStr">
        <is>
          <t>Registered account/authenticated bearer as specified; see request data.</t>
        </is>
      </c>
      <c r="T15" s="20" t="inlineStr">
        <is>
          <t>Issued unused refreshToken</t>
        </is>
      </c>
      <c r="U15" s="20" t="inlineStr">
        <is>
          <t>1. Set precondition. 2. Send POST /api/v1/auth/refresh. 3. Inspect response and database.</t>
        </is>
      </c>
      <c r="V15" s="20" t="n">
        <v>200</v>
      </c>
      <c r="W15" s="20" t="inlineStr">
        <is>
          <t>TokenResponse {accessToken:string, refreshToken:string, tokenType:"bearer", expiresIn:integer}</t>
        </is>
      </c>
      <c r="X15" s="20" t="inlineStr">
        <is>
          <t>Old token revoked and linked; new token inserted.</t>
        </is>
      </c>
      <c r="Y15" s="20" t="inlineStr">
        <is>
          <t>P0</t>
        </is>
      </c>
      <c r="Z15" s="20" t="inlineStr">
        <is>
          <t>Passed</t>
        </is>
      </c>
      <c r="AA15" s="20" t="inlineStr"/>
      <c r="AB15" s="20" t="inlineStr">
        <is>
          <t>test_register_login_me_refresh_logout_flow</t>
        </is>
      </c>
    </row>
    <row r="16" ht="70" customHeight="1">
      <c r="A16" s="21" t="inlineStr">
        <is>
          <t>API-AUTH-015</t>
        </is>
      </c>
      <c r="B16" s="21" t="inlineStr">
        <is>
          <t>POST /api/v1/auth/refresh</t>
        </is>
      </c>
      <c r="C16" s="21" t="inlineStr">
        <is>
          <t>Unknown or missing refresh token</t>
        </is>
      </c>
      <c r="D16" s="21" t="inlineStr">
        <is>
          <t>See explicit precondition</t>
        </is>
      </c>
      <c r="E16" s="21" t="inlineStr">
        <is>
          <t>unknown token / {}</t>
        </is>
      </c>
      <c r="F16" s="21" t="inlineStr"/>
      <c r="G16" s="21" t="inlineStr">
        <is>
          <t>POST /api/v1/auth/refresh: unknown token / {}</t>
        </is>
      </c>
      <c r="H16" s="21" t="inlineStr">
        <is>
          <t>401 / 422</t>
        </is>
      </c>
      <c r="I16" s="21" t="inlineStr">
        <is>
          <t>INVALID_TOKEN / {code:"VALIDATION_ERROR",message:"Request validation failed.",traceId:string,details:{errors:[...]}}</t>
        </is>
      </c>
      <c r="J16" s="21" t="inlineStr">
        <is>
          <t>No new token.</t>
        </is>
      </c>
      <c r="K16" s="21" t="inlineStr">
        <is>
          <t>Passed</t>
        </is>
      </c>
      <c r="L16" s="21" t="inlineStr">
        <is>
          <t>Automation</t>
        </is>
      </c>
      <c r="M16" s="21" t="inlineStr">
        <is>
          <t>Test passed in targeted API suite and full backend suite.</t>
        </is>
      </c>
      <c r="N16" s="20" t="inlineStr">
        <is>
          <t>API-AUTH-015</t>
        </is>
      </c>
      <c r="O16" s="20" t="inlineStr">
        <is>
          <t>Auth</t>
        </is>
      </c>
      <c r="P16" s="20" t="inlineStr">
        <is>
          <t>POST /api/v1/auth/refresh</t>
        </is>
      </c>
      <c r="Q16" s="20" t="inlineStr">
        <is>
          <t>AUTH-015</t>
        </is>
      </c>
      <c r="R16" s="20" t="inlineStr">
        <is>
          <t>Unknown or missing refresh token</t>
        </is>
      </c>
      <c r="S16" s="20" t="inlineStr">
        <is>
          <t>Registered account/authenticated bearer as specified; see request data.</t>
        </is>
      </c>
      <c r="T16" s="20" t="inlineStr">
        <is>
          <t>unknown token / {}</t>
        </is>
      </c>
      <c r="U16" s="20" t="inlineStr">
        <is>
          <t>1. Set precondition. 2. Send POST /api/v1/auth/refresh. 3. Inspect response and database.</t>
        </is>
      </c>
      <c r="V16" s="20" t="inlineStr">
        <is>
          <t>401 / 422</t>
        </is>
      </c>
      <c r="W16" s="20" t="inlineStr">
        <is>
          <t>INVALID_TOKEN / {code:"VALIDATION_ERROR",message:"Request validation failed.",traceId:string,details:{errors:[...]}}</t>
        </is>
      </c>
      <c r="X16" s="20" t="inlineStr">
        <is>
          <t>No new token.</t>
        </is>
      </c>
      <c r="Y16" s="20" t="inlineStr">
        <is>
          <t>P1</t>
        </is>
      </c>
      <c r="Z16" s="20" t="inlineStr">
        <is>
          <t>Passed</t>
        </is>
      </c>
      <c r="AA16" s="20" t="inlineStr"/>
      <c r="AB16" s="20" t="inlineStr">
        <is>
          <t>test_auth_validation_rejects_missing_fields_and_invalid_email</t>
        </is>
      </c>
    </row>
    <row r="17" ht="70" customHeight="1">
      <c r="A17" s="19" t="inlineStr">
        <is>
          <t>API-AUTH-016</t>
        </is>
      </c>
      <c r="B17" s="19" t="inlineStr">
        <is>
          <t>POST /api/v1/auth/refresh</t>
        </is>
      </c>
      <c r="C17" s="19" t="inlineStr">
        <is>
          <t>Reuse rotated token</t>
        </is>
      </c>
      <c r="D17" s="19" t="inlineStr">
        <is>
          <t>See explicit precondition</t>
        </is>
      </c>
      <c r="E17" s="19" t="inlineStr">
        <is>
          <t>Submit old token after rotation</t>
        </is>
      </c>
      <c r="F17" s="19" t="inlineStr"/>
      <c r="G17" s="19" t="inlineStr">
        <is>
          <t>POST /api/v1/auth/refresh: Submit old token after rotation</t>
        </is>
      </c>
      <c r="H17" s="19" t="n">
        <v>401</v>
      </c>
      <c r="I17" s="19" t="inlineStr">
        <is>
          <t>{code:"TOKEN_REUSE_DETECTED",message,traceId,details:{}}</t>
        </is>
      </c>
      <c r="J17" s="19" t="inlineStr">
        <is>
          <t>All user refresh tokens revoked.</t>
        </is>
      </c>
      <c r="K17" s="19" t="inlineStr">
        <is>
          <t>Passed</t>
        </is>
      </c>
      <c r="L17" s="19" t="inlineStr">
        <is>
          <t>Automation</t>
        </is>
      </c>
      <c r="M17" s="19" t="inlineStr">
        <is>
          <t>Test passed in targeted API suite and full backend suite.</t>
        </is>
      </c>
      <c r="N17" s="20" t="inlineStr">
        <is>
          <t>API-AUTH-016</t>
        </is>
      </c>
      <c r="O17" s="20" t="inlineStr">
        <is>
          <t>Auth</t>
        </is>
      </c>
      <c r="P17" s="20" t="inlineStr">
        <is>
          <t>POST /api/v1/auth/refresh</t>
        </is>
      </c>
      <c r="Q17" s="20" t="inlineStr">
        <is>
          <t>AUTH-016</t>
        </is>
      </c>
      <c r="R17" s="20" t="inlineStr">
        <is>
          <t>Reuse rotated token</t>
        </is>
      </c>
      <c r="S17" s="20" t="inlineStr">
        <is>
          <t>Registered account/authenticated bearer as specified; see request data.</t>
        </is>
      </c>
      <c r="T17" s="20" t="inlineStr">
        <is>
          <t>Submit old token after rotation</t>
        </is>
      </c>
      <c r="U17" s="20" t="inlineStr">
        <is>
          <t>1. Set precondition. 2. Send POST /api/v1/auth/refresh. 3. Inspect response and database.</t>
        </is>
      </c>
      <c r="V17" s="20" t="n">
        <v>401</v>
      </c>
      <c r="W17" s="20" t="inlineStr">
        <is>
          <t>{code:"TOKEN_REUSE_DETECTED",message,traceId,details:{}}</t>
        </is>
      </c>
      <c r="X17" s="20" t="inlineStr">
        <is>
          <t>All user refresh tokens revoked.</t>
        </is>
      </c>
      <c r="Y17" s="20" t="inlineStr">
        <is>
          <t>P0</t>
        </is>
      </c>
      <c r="Z17" s="20" t="inlineStr">
        <is>
          <t>Passed</t>
        </is>
      </c>
      <c r="AA17" s="20" t="inlineStr"/>
      <c r="AB17" s="20" t="inlineStr">
        <is>
          <t>test_refresh_token_reuse_detection</t>
        </is>
      </c>
    </row>
    <row r="18" ht="70" customHeight="1">
      <c r="A18" t="inlineStr">
        <is>
          <t>API-AUTH-017</t>
        </is>
      </c>
      <c r="B18" t="inlineStr">
        <is>
          <t>POST /api/v1/auth/logout</t>
        </is>
      </c>
      <c r="C18" t="inlineStr">
        <is>
          <t>Logout valid token then refresh it</t>
        </is>
      </c>
      <c r="D18" t="inlineStr">
        <is>
          <t>Issued refresh token.</t>
        </is>
      </c>
      <c r="E18" t="inlineStr">
        <is>
          <t>refreshToken=&lt;issued token&gt;; logout then refresh</t>
        </is>
      </c>
      <c r="G18" t="inlineStr">
        <is>
          <t>POST logout, then POST refresh; inspect revocation.</t>
        </is>
      </c>
      <c r="H18" t="inlineStr">
        <is>
          <t>200 then 401</t>
        </is>
      </c>
      <c r="I18" t="inlineStr">
        <is>
          <t>{message:"Logged out successfully"}; then TOKEN_REUSE_DETECTED</t>
        </is>
      </c>
      <c r="J18" t="inlineStr">
        <is>
          <t>Token revoked.</t>
        </is>
      </c>
      <c r="K18" t="inlineStr">
        <is>
          <t>Passed</t>
        </is>
      </c>
      <c r="L18" t="inlineStr">
        <is>
          <t>Automation</t>
        </is>
      </c>
      <c r="M18" t="inlineStr">
        <is>
          <t>Test passed in targeted API suite and full backend suite.</t>
        </is>
      </c>
      <c r="N18" s="20" t="inlineStr">
        <is>
          <t>API-AUTH-017</t>
        </is>
      </c>
      <c r="O18" s="20" t="inlineStr">
        <is>
          <t>Auth</t>
        </is>
      </c>
      <c r="P18" s="20" t="inlineStr">
        <is>
          <t>POST /api/v1/auth/logout</t>
        </is>
      </c>
      <c r="Q18" s="20" t="inlineStr">
        <is>
          <t>AUTH-017</t>
        </is>
      </c>
      <c r="R18" s="20" t="inlineStr">
        <is>
          <t>Logout valid token then refresh it</t>
        </is>
      </c>
      <c r="S18" s="20" t="inlineStr">
        <is>
          <t>Issued refresh token.</t>
        </is>
      </c>
      <c r="T18" s="20" t="inlineStr">
        <is>
          <t>refreshToken=&lt;issued token&gt;; logout then refresh</t>
        </is>
      </c>
      <c r="U18" s="20" t="inlineStr">
        <is>
          <t>POST logout, then POST refresh; inspect revocation.</t>
        </is>
      </c>
      <c r="V18" s="20" t="inlineStr">
        <is>
          <t>200 then 401</t>
        </is>
      </c>
      <c r="W18" s="20" t="inlineStr">
        <is>
          <t>{message:"Logged out successfully"}; then TOKEN_REUSE_DETECTED</t>
        </is>
      </c>
      <c r="X18" s="20" t="inlineStr">
        <is>
          <t>Token revoked.</t>
        </is>
      </c>
      <c r="Y18" s="20" t="inlineStr">
        <is>
          <t>P0</t>
        </is>
      </c>
      <c r="Z18" s="20" t="inlineStr">
        <is>
          <t>Passed</t>
        </is>
      </c>
      <c r="AA18" s="20" t="inlineStr"/>
      <c r="AB18" s="20" t="inlineStr">
        <is>
          <t>test_register_login_me_refresh_logout_flow</t>
        </is>
      </c>
    </row>
    <row r="19">
      <c r="A19" s="20" t="inlineStr">
        <is>
          <t>API-AUTH-024</t>
        </is>
      </c>
      <c r="B19" s="20" t="inlineStr">
        <is>
          <t>POST /api/v1/auth/refresh</t>
        </is>
      </c>
      <c r="C19" s="20" t="inlineStr">
        <is>
          <t>Refresh expired token</t>
        </is>
      </c>
      <c r="D19" s="20" t="inlineStr">
        <is>
          <t>RefreshToken row exists but expires_at is in the past.</t>
        </is>
      </c>
      <c r="E19" s="20" t="inlineStr">
        <is>
          <t>refreshToken=&lt;expired issued token&gt;</t>
        </is>
      </c>
      <c r="F19" s="20" t="inlineStr"/>
      <c r="G19" s="20" t="inlineStr">
        <is>
          <t>Set expired token fixture; POST refresh; inspect response and token records.</t>
        </is>
      </c>
      <c r="H19" s="20" t="inlineStr">
        <is>
          <t>401</t>
        </is>
      </c>
      <c r="I19" s="20" t="inlineStr">
        <is>
          <t>{code:"TOKEN_EXPIRED",message,traceId,details:{}}</t>
        </is>
      </c>
      <c r="J19" s="20" t="inlineStr">
        <is>
          <t>Expired token remains unusable; no replacement token issued.</t>
        </is>
      </c>
      <c r="K19" s="20" t="inlineStr">
        <is>
          <t>Passed</t>
        </is>
      </c>
      <c r="L19" s="20" t="inlineStr">
        <is>
          <t>Automation</t>
        </is>
      </c>
      <c r="M19" s="20" t="inlineStr">
        <is>
          <t>Test passed in targeted API suite and full backend suite.</t>
        </is>
      </c>
      <c r="N19" s="20" t="inlineStr">
        <is>
          <t>API-AUTH-024</t>
        </is>
      </c>
      <c r="O19" s="20" t="inlineStr">
        <is>
          <t>Auth</t>
        </is>
      </c>
      <c r="P19" s="20" t="inlineStr">
        <is>
          <t>POST /api/v1/auth/refresh</t>
        </is>
      </c>
      <c r="Q19" s="20" t="inlineStr">
        <is>
          <t>AUTH-024</t>
        </is>
      </c>
      <c r="R19" s="20" t="inlineStr">
        <is>
          <t>Refresh expired token</t>
        </is>
      </c>
      <c r="S19" s="20" t="inlineStr">
        <is>
          <t>RefreshToken row exists but expires_at is in the past.</t>
        </is>
      </c>
      <c r="T19" s="20" t="inlineStr">
        <is>
          <t>refreshToken=&lt;expired issued token&gt;</t>
        </is>
      </c>
      <c r="U19" s="20" t="inlineStr">
        <is>
          <t>Set expired token fixture; POST refresh; inspect response and token records.</t>
        </is>
      </c>
      <c r="V19" s="20" t="inlineStr">
        <is>
          <t>401</t>
        </is>
      </c>
      <c r="W19" s="20" t="inlineStr">
        <is>
          <t>{code:"TOKEN_EXPIRED",message,traceId,details:{}}</t>
        </is>
      </c>
      <c r="X19" s="20" t="inlineStr">
        <is>
          <t>Expired token remains unusable; no replacement token issued.</t>
        </is>
      </c>
      <c r="Y19" s="20" t="inlineStr">
        <is>
          <t>P1</t>
        </is>
      </c>
      <c r="Z19" s="20" t="inlineStr">
        <is>
          <t>Passed</t>
        </is>
      </c>
      <c r="AA19" s="20" t="inlineStr"/>
      <c r="AB19" s="20" t="inlineStr">
        <is>
          <t>test_refresh_rejects_expired_token_without_rotating_it</t>
        </is>
      </c>
    </row>
  </sheetData>
  <autoFilter ref="A14:AB19"/>
  <mergeCells count="15">
    <mergeCell ref="B3:G3"/>
    <mergeCell ref="B2:G2"/>
    <mergeCell ref="J13:J14"/>
    <mergeCell ref="L13:L14"/>
    <mergeCell ref="M13:M14"/>
    <mergeCell ref="A13:A14"/>
    <mergeCell ref="B13:B14"/>
    <mergeCell ref="E13:E14"/>
    <mergeCell ref="D13:D14"/>
    <mergeCell ref="B1:G1"/>
    <mergeCell ref="A12:M12"/>
    <mergeCell ref="K13:K14"/>
    <mergeCell ref="F13:G13"/>
    <mergeCell ref="H13:I13"/>
    <mergeCell ref="C13:C14"/>
  </mergeCells>
  <dataValidations count="2">
    <dataValidation sqref="K15:K17" showDropDown="0" showInputMessage="0" showErrorMessage="0" allowBlank="1" type="list">
      <formula1>"Passed,Failed,Blocked,Not run,N/A"</formula1>
    </dataValidation>
    <dataValidation sqref="L15:L17" showDropDown="0" showInputMessage="0" showErrorMessage="0" allowBlank="1" type="list">
      <formula1>"Automation,Manual,N/A"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B22"/>
  <sheetViews>
    <sheetView showGridLines="1" zoomScale="85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28" customWidth="1" min="4" max="4"/>
    <col width="24" customWidth="1" min="5" max="5"/>
    <col width="20" customWidth="1" min="6" max="6"/>
    <col width="30" customWidth="1" min="7" max="7"/>
    <col width="20" customWidth="1" min="8" max="8"/>
    <col width="38" customWidth="1" min="9" max="9"/>
    <col width="34" customWidth="1" min="10" max="10"/>
    <col width="13" customWidth="1" min="11" max="11"/>
    <col width="14" customWidth="1" min="12" max="12"/>
    <col width="30" customWidth="1" min="13" max="13"/>
    <col width="16" customWidth="1" min="14" max="14"/>
    <col width="13" customWidth="1" min="15" max="15"/>
    <col width="36" customWidth="1" min="16" max="16"/>
    <col width="17" customWidth="1" min="17" max="17"/>
    <col width="32" customWidth="1" min="18" max="18"/>
    <col width="33" customWidth="1" min="19" max="19"/>
    <col width="38" customWidth="1" min="20" max="20"/>
    <col width="42" customWidth="1" min="21" max="21"/>
    <col width="18" customWidth="1" min="22" max="22"/>
    <col width="45" customWidth="1" min="23" max="23"/>
    <col width="42" customWidth="1" min="24" max="24"/>
    <col width="12" customWidth="1" min="25" max="25"/>
    <col width="16" customWidth="1" min="26" max="26"/>
    <col width="18" customWidth="1" min="27" max="27"/>
    <col width="43" customWidth="1" min="28" max="28"/>
  </cols>
  <sheetData>
    <row r="1">
      <c r="A1" s="7" t="inlineStr">
        <is>
          <t>Project Name</t>
        </is>
      </c>
      <c r="B1" s="8" t="inlineStr">
        <is>
          <t>TalkWithMe</t>
        </is>
      </c>
      <c r="C1" s="9" t="n"/>
      <c r="D1" s="9" t="n"/>
      <c r="E1" s="9" t="n"/>
      <c r="F1" s="9" t="n"/>
      <c r="G1" s="10" t="n"/>
    </row>
    <row r="2">
      <c r="A2" s="7" t="inlineStr">
        <is>
          <t>API Name</t>
        </is>
      </c>
      <c r="B2" s="8" t="inlineStr">
        <is>
          <t>API003 Auth Password</t>
        </is>
      </c>
      <c r="C2" s="9" t="n"/>
      <c r="D2" s="9" t="n"/>
      <c r="E2" s="9" t="n"/>
      <c r="F2" s="9" t="n"/>
      <c r="G2" s="10" t="n"/>
    </row>
    <row r="3">
      <c r="A3" s="7" t="inlineStr">
        <is>
          <t>Owner</t>
        </is>
      </c>
      <c r="B3" s="8" t="inlineStr">
        <is>
          <t>QA / Backend Team</t>
        </is>
      </c>
      <c r="C3" s="9" t="n"/>
      <c r="D3" s="9" t="n"/>
      <c r="E3" s="9" t="n"/>
      <c r="F3" s="9" t="n"/>
      <c r="G3" s="10" t="n"/>
    </row>
    <row r="5">
      <c r="A5" s="11" t="inlineStr">
        <is>
          <t>PASSED</t>
        </is>
      </c>
      <c r="B5" s="8">
        <f>COUNTIF(Z15:Z22,"Passed")</f>
        <v/>
      </c>
    </row>
    <row r="6">
      <c r="A6" s="11" t="inlineStr">
        <is>
          <t>FAILED</t>
        </is>
      </c>
      <c r="B6" s="8">
        <f>COUNTIF(Z15:Z22,"Failed")</f>
        <v/>
      </c>
    </row>
    <row r="7">
      <c r="A7" s="11" t="inlineStr">
        <is>
          <t>PENDING</t>
        </is>
      </c>
      <c r="B7" s="8">
        <f>COUNTIF(Z15:Z22,"Blocked")</f>
        <v/>
      </c>
    </row>
    <row r="8">
      <c r="A8" s="11" t="inlineStr">
        <is>
          <t>NOT RUN</t>
        </is>
      </c>
      <c r="B8" s="8">
        <f>COUNTIF(Z15:Z22,"Not Run")</f>
        <v/>
      </c>
    </row>
    <row r="9">
      <c r="A9" s="11" t="inlineStr">
        <is>
          <t>AUTOMATION</t>
        </is>
      </c>
      <c r="B9" s="8">
        <f>COUNTIF(L15:L22,"Automation")</f>
        <v/>
      </c>
    </row>
    <row r="10">
      <c r="A10" s="11" t="inlineStr">
        <is>
          <t>MANUAL</t>
        </is>
      </c>
      <c r="B10" s="8">
        <f>COUNTIF(L15:L22,"Manual")</f>
        <v/>
      </c>
    </row>
    <row r="11">
      <c r="A11" s="12" t="inlineStr">
        <is>
          <t>Number of Testcase</t>
        </is>
      </c>
      <c r="B11" s="13">
        <f>COUNTA(A15:A18)</f>
        <v/>
      </c>
    </row>
    <row r="12">
      <c r="A12" s="14" t="inlineStr">
        <is>
          <t>Validate / Functional / Security</t>
        </is>
      </c>
    </row>
    <row r="13" ht="30" customHeight="1">
      <c r="A13" s="2" t="inlineStr">
        <is>
          <t>ID</t>
        </is>
      </c>
      <c r="B13" s="2" t="inlineStr">
        <is>
          <t>Item</t>
        </is>
      </c>
      <c r="C13" s="2" t="inlineStr">
        <is>
          <t>Testcase Name</t>
        </is>
      </c>
      <c r="D13" s="2" t="inlineStr">
        <is>
          <t>Precondition Test Case</t>
        </is>
      </c>
      <c r="E13" s="2" t="inlineStr">
        <is>
          <t>Test data</t>
        </is>
      </c>
      <c r="F13" s="2" t="inlineStr">
        <is>
          <t>Request</t>
        </is>
      </c>
      <c r="G13" s="10" t="n"/>
      <c r="H13" s="2" t="inlineStr">
        <is>
          <t>Expected Response</t>
        </is>
      </c>
      <c r="I13" s="10" t="n"/>
      <c r="J13" s="2" t="inlineStr">
        <is>
          <t>Expected Database</t>
        </is>
      </c>
      <c r="K13" s="2" t="inlineStr">
        <is>
          <t>Result</t>
        </is>
      </c>
      <c r="L13" s="2" t="inlineStr">
        <is>
          <t>Execution</t>
        </is>
      </c>
      <c r="M13" s="2" t="inlineStr">
        <is>
          <t>Note</t>
        </is>
      </c>
    </row>
    <row r="14" ht="28" customHeight="1">
      <c r="A14" s="17" t="n"/>
      <c r="B14" s="17" t="n"/>
      <c r="C14" s="17" t="n"/>
      <c r="D14" s="17" t="n"/>
      <c r="E14" s="17" t="n"/>
      <c r="F14" s="2" t="inlineStr">
        <is>
          <t>params</t>
        </is>
      </c>
      <c r="G14" s="2" t="inlineStr">
        <is>
          <t>body</t>
        </is>
      </c>
      <c r="H14" s="2" t="inlineStr">
        <is>
          <t>Status code</t>
        </is>
      </c>
      <c r="I14" s="2" t="inlineStr">
        <is>
          <t>Body</t>
        </is>
      </c>
      <c r="J14" s="17" t="n"/>
      <c r="K14" s="17" t="n"/>
      <c r="L14" s="17" t="n"/>
      <c r="M14" s="17" t="n"/>
      <c r="N14" s="18" t="inlineStr">
        <is>
          <t>Case ID</t>
        </is>
      </c>
      <c r="O14" s="18" t="inlineStr">
        <is>
          <t>Module</t>
        </is>
      </c>
      <c r="P14" s="18" t="inlineStr">
        <is>
          <t>Method/Path</t>
        </is>
      </c>
      <c r="Q14" s="18" t="inlineStr">
        <is>
          <t>Viewpoint ID</t>
        </is>
      </c>
      <c r="R14" s="18" t="inlineStr">
        <is>
          <t>Testcase Name</t>
        </is>
      </c>
      <c r="S14" s="18" t="inlineStr">
        <is>
          <t>Precondition</t>
        </is>
      </c>
      <c r="T14" s="18" t="inlineStr">
        <is>
          <t>Request/Test Data</t>
        </is>
      </c>
      <c r="U14" s="18" t="inlineStr">
        <is>
          <t>Steps</t>
        </is>
      </c>
      <c r="V14" s="18" t="inlineStr">
        <is>
          <t>Expected HTTP Status</t>
        </is>
      </c>
      <c r="W14" s="18" t="inlineStr">
        <is>
          <t>Expected Response Body</t>
        </is>
      </c>
      <c r="X14" s="18" t="inlineStr">
        <is>
          <t>Expected Database</t>
        </is>
      </c>
      <c r="Y14" s="18" t="inlineStr">
        <is>
          <t>Priority</t>
        </is>
      </c>
      <c r="Z14" s="18" t="inlineStr">
        <is>
          <t>Execution Result</t>
        </is>
      </c>
      <c r="AA14" s="18" t="inlineStr">
        <is>
          <t>Defect Link</t>
        </is>
      </c>
      <c r="AB14" s="18" t="inlineStr">
        <is>
          <t>Automation Test / Manual Reason</t>
        </is>
      </c>
    </row>
    <row r="15" ht="70" customHeight="1">
      <c r="A15" s="19" t="inlineStr">
        <is>
          <t>API-AUTH-018</t>
        </is>
      </c>
      <c r="B15" s="19" t="inlineStr">
        <is>
          <t>POST /api/v1/auth/forgot-password</t>
        </is>
      </c>
      <c r="C15" s="19" t="inlineStr">
        <is>
          <t>Registered email</t>
        </is>
      </c>
      <c r="D15" s="19" t="inlineStr">
        <is>
          <t>See explicit precondition</t>
        </is>
      </c>
      <c r="E15" s="19" t="inlineStr">
        <is>
          <t>email of registered account; fake email provider</t>
        </is>
      </c>
      <c r="F15" s="19" t="inlineStr"/>
      <c r="G15" s="19" t="inlineStr">
        <is>
          <t>POST /api/v1/auth/forgot-password: email of registered account; fake email provider</t>
        </is>
      </c>
      <c r="H15" s="19" t="n">
        <v>200</v>
      </c>
      <c r="I15" s="19" t="inlineStr">
        <is>
          <t>{message:"If the email is registered, a password reset link has been sent."}</t>
        </is>
      </c>
      <c r="J15" s="19" t="inlineStr">
        <is>
          <t>Reset-token hash inserted; token sent only to fake sender.</t>
        </is>
      </c>
      <c r="K15" s="19" t="inlineStr">
        <is>
          <t>Passed</t>
        </is>
      </c>
      <c r="L15" s="19" t="inlineStr">
        <is>
          <t>Automation</t>
        </is>
      </c>
      <c r="M15" s="19" t="inlineStr">
        <is>
          <t>Test passed in targeted API suite and full backend suite.</t>
        </is>
      </c>
      <c r="N15" s="20" t="inlineStr">
        <is>
          <t>API-AUTH-018</t>
        </is>
      </c>
      <c r="O15" s="20" t="inlineStr">
        <is>
          <t>Auth</t>
        </is>
      </c>
      <c r="P15" s="20" t="inlineStr">
        <is>
          <t>POST /api/v1/auth/forgot-password</t>
        </is>
      </c>
      <c r="Q15" s="20" t="inlineStr">
        <is>
          <t>AUTH-018</t>
        </is>
      </c>
      <c r="R15" s="20" t="inlineStr">
        <is>
          <t>Registered email</t>
        </is>
      </c>
      <c r="S15" s="20" t="inlineStr">
        <is>
          <t>Registered account/authenticated bearer as specified; see request data.</t>
        </is>
      </c>
      <c r="T15" s="20" t="inlineStr">
        <is>
          <t>email of registered account; fake email provider</t>
        </is>
      </c>
      <c r="U15" s="20" t="inlineStr">
        <is>
          <t>1. Set precondition. 2. Send POST /api/v1/auth/forgot-password. 3. Inspect response and database.</t>
        </is>
      </c>
      <c r="V15" s="20" t="n">
        <v>200</v>
      </c>
      <c r="W15" s="20" t="inlineStr">
        <is>
          <t>{message:"If the email is registered, a password reset link has been sent."}</t>
        </is>
      </c>
      <c r="X15" s="20" t="inlineStr">
        <is>
          <t>Reset-token hash inserted; token sent only to fake sender.</t>
        </is>
      </c>
      <c r="Y15" s="20" t="inlineStr">
        <is>
          <t>P0</t>
        </is>
      </c>
      <c r="Z15" s="20" t="inlineStr">
        <is>
          <t>Passed</t>
        </is>
      </c>
      <c r="AA15" s="20" t="inlineStr"/>
      <c r="AB15" s="20" t="inlineStr">
        <is>
          <t>test_reset_password_flow_and_reuse_fails</t>
        </is>
      </c>
    </row>
    <row r="16" ht="70" customHeight="1">
      <c r="A16" s="21" t="inlineStr">
        <is>
          <t>API-AUTH-019</t>
        </is>
      </c>
      <c r="B16" s="21" t="inlineStr">
        <is>
          <t>POST /api/v1/auth/forgot-password</t>
        </is>
      </c>
      <c r="C16" s="21" t="inlineStr">
        <is>
          <t>Unknown email enumeration</t>
        </is>
      </c>
      <c r="D16" s="21" t="inlineStr">
        <is>
          <t>See explicit precondition</t>
        </is>
      </c>
      <c r="E16" s="21" t="inlineStr">
        <is>
          <t>Unregistered valid email</t>
        </is>
      </c>
      <c r="F16" s="21" t="inlineStr"/>
      <c r="G16" s="21" t="inlineStr">
        <is>
          <t>POST /api/v1/auth/forgot-password: Unregistered valid email</t>
        </is>
      </c>
      <c r="H16" s="21" t="n">
        <v>200</v>
      </c>
      <c r="I16" s="21" t="inlineStr">
        <is>
          <t>Same message as registered email.</t>
        </is>
      </c>
      <c r="J16" s="21" t="inlineStr">
        <is>
          <t>No reset token inserted.</t>
        </is>
      </c>
      <c r="K16" s="21" t="inlineStr">
        <is>
          <t>Passed</t>
        </is>
      </c>
      <c r="L16" s="21" t="inlineStr">
        <is>
          <t>Automation</t>
        </is>
      </c>
      <c r="M16" s="21" t="inlineStr">
        <is>
          <t>Test passed in targeted API suite and full backend suite.</t>
        </is>
      </c>
      <c r="N16" s="20" t="inlineStr">
        <is>
          <t>API-AUTH-019</t>
        </is>
      </c>
      <c r="O16" s="20" t="inlineStr">
        <is>
          <t>Auth</t>
        </is>
      </c>
      <c r="P16" s="20" t="inlineStr">
        <is>
          <t>POST /api/v1/auth/forgot-password</t>
        </is>
      </c>
      <c r="Q16" s="20" t="inlineStr">
        <is>
          <t>AUTH-019</t>
        </is>
      </c>
      <c r="R16" s="20" t="inlineStr">
        <is>
          <t>Unknown email enumeration</t>
        </is>
      </c>
      <c r="S16" s="20" t="inlineStr">
        <is>
          <t>Registered account/authenticated bearer as specified; see request data.</t>
        </is>
      </c>
      <c r="T16" s="20" t="inlineStr">
        <is>
          <t>Unregistered valid email</t>
        </is>
      </c>
      <c r="U16" s="20" t="inlineStr">
        <is>
          <t>1. Set precondition. 2. Send POST /api/v1/auth/forgot-password. 3. Inspect response and database.</t>
        </is>
      </c>
      <c r="V16" s="20" t="n">
        <v>200</v>
      </c>
      <c r="W16" s="20" t="inlineStr">
        <is>
          <t>Same message as registered email.</t>
        </is>
      </c>
      <c r="X16" s="20" t="inlineStr">
        <is>
          <t>No reset token inserted.</t>
        </is>
      </c>
      <c r="Y16" s="20" t="inlineStr">
        <is>
          <t>P0</t>
        </is>
      </c>
      <c r="Z16" s="20" t="inlineStr">
        <is>
          <t>Passed</t>
        </is>
      </c>
      <c r="AA16" s="20" t="inlineStr"/>
      <c r="AB16" s="20" t="inlineStr">
        <is>
          <t>test_forgot_password_unknown_email_has_same_response_and_sends_no_email</t>
        </is>
      </c>
    </row>
    <row r="17" ht="70" customHeight="1">
      <c r="A17" s="19" t="inlineStr">
        <is>
          <t>API-AUTH-020</t>
        </is>
      </c>
      <c r="B17" s="19" t="inlineStr">
        <is>
          <t>POST /api/v1/auth/forgot-password</t>
        </is>
      </c>
      <c r="C17" s="19" t="inlineStr">
        <is>
          <t>Malformed email</t>
        </is>
      </c>
      <c r="D17" s="19" t="inlineStr">
        <is>
          <t>See explicit precondition</t>
        </is>
      </c>
      <c r="E17" s="19" t="inlineStr">
        <is>
          <t>email=invalid</t>
        </is>
      </c>
      <c r="F17" s="19" t="inlineStr"/>
      <c r="G17" s="19" t="inlineStr">
        <is>
          <t>POST /api/v1/auth/forgot-password: email=invalid</t>
        </is>
      </c>
      <c r="H17" s="19" t="n">
        <v>422</v>
      </c>
      <c r="I17" s="19" t="inlineStr">
        <is>
          <t>{code:"VALIDATION_ERROR",message:"Request validation failed.",traceId:string,details:{errors:[...]}}</t>
        </is>
      </c>
      <c r="J17" s="19" t="inlineStr">
        <is>
          <t>No unintended mutation.</t>
        </is>
      </c>
      <c r="K17" s="19" t="inlineStr">
        <is>
          <t>Passed</t>
        </is>
      </c>
      <c r="L17" s="19" t="inlineStr">
        <is>
          <t>Automation</t>
        </is>
      </c>
      <c r="M17" s="19" t="inlineStr">
        <is>
          <t>Test passed in targeted API suite and full backend suite.</t>
        </is>
      </c>
      <c r="N17" s="20" t="inlineStr">
        <is>
          <t>API-AUTH-020</t>
        </is>
      </c>
      <c r="O17" s="20" t="inlineStr">
        <is>
          <t>Auth</t>
        </is>
      </c>
      <c r="P17" s="20" t="inlineStr">
        <is>
          <t>POST /api/v1/auth/forgot-password</t>
        </is>
      </c>
      <c r="Q17" s="20" t="inlineStr">
        <is>
          <t>AUTH-020</t>
        </is>
      </c>
      <c r="R17" s="20" t="inlineStr">
        <is>
          <t>Malformed email</t>
        </is>
      </c>
      <c r="S17" s="20" t="inlineStr">
        <is>
          <t>Registered account/authenticated bearer as specified; see request data.</t>
        </is>
      </c>
      <c r="T17" s="20" t="inlineStr">
        <is>
          <t>email=invalid</t>
        </is>
      </c>
      <c r="U17" s="20" t="inlineStr">
        <is>
          <t>1. Set precondition. 2. Send POST /api/v1/auth/forgot-password. 3. Inspect response and database.</t>
        </is>
      </c>
      <c r="V17" s="20" t="n">
        <v>422</v>
      </c>
      <c r="W17" s="20" t="inlineStr">
        <is>
          <t>{code:"VALIDATION_ERROR",message:"Request validation failed.",traceId:string,details:{errors:[...]}}</t>
        </is>
      </c>
      <c r="X17" s="20" t="inlineStr">
        <is>
          <t>No unintended mutation.</t>
        </is>
      </c>
      <c r="Y17" s="20" t="inlineStr">
        <is>
          <t>P1</t>
        </is>
      </c>
      <c r="Z17" s="20" t="inlineStr">
        <is>
          <t>Passed</t>
        </is>
      </c>
      <c r="AA17" s="20" t="inlineStr"/>
      <c r="AB17" s="20" t="inlineStr">
        <is>
          <t>test_auth_validation_rejects_missing_fields_and_invalid_email</t>
        </is>
      </c>
    </row>
    <row r="18" ht="70" customHeight="1">
      <c r="A18" s="21" t="inlineStr">
        <is>
          <t>API-AUTH-021</t>
        </is>
      </c>
      <c r="B18" s="21" t="inlineStr">
        <is>
          <t>POST /api/v1/auth/reset-password</t>
        </is>
      </c>
      <c r="C18" s="21" t="inlineStr">
        <is>
          <t>Invalid or expired token</t>
        </is>
      </c>
      <c r="D18" s="21" t="inlineStr">
        <is>
          <t>See explicit precondition</t>
        </is>
      </c>
      <c r="E18" s="21" t="inlineStr">
        <is>
          <t>token=invalid-token-string; newPassword=NewPassword123!</t>
        </is>
      </c>
      <c r="F18" s="21" t="inlineStr"/>
      <c r="G18" s="21" t="inlineStr">
        <is>
          <t>POST /api/v1/auth/reset-password: token=invalid-token-string; newPassword=NewPassword123!</t>
        </is>
      </c>
      <c r="H18" s="21" t="n">
        <v>400</v>
      </c>
      <c r="I18" s="21" t="inlineStr">
        <is>
          <t>{code:"INVALID_TOKEN",message,traceId,details:{}}</t>
        </is>
      </c>
      <c r="J18" s="21" t="inlineStr">
        <is>
          <t>Password hash unchanged.</t>
        </is>
      </c>
      <c r="K18" s="21" t="inlineStr">
        <is>
          <t>Passed</t>
        </is>
      </c>
      <c r="L18" s="21" t="inlineStr">
        <is>
          <t>Automation</t>
        </is>
      </c>
      <c r="M18" s="21" t="inlineStr">
        <is>
          <t>Test passed in targeted API suite and full backend suite.</t>
        </is>
      </c>
      <c r="N18" s="20" t="inlineStr">
        <is>
          <t>API-AUTH-021</t>
        </is>
      </c>
      <c r="O18" s="20" t="inlineStr">
        <is>
          <t>Auth</t>
        </is>
      </c>
      <c r="P18" s="20" t="inlineStr">
        <is>
          <t>POST /api/v1/auth/reset-password</t>
        </is>
      </c>
      <c r="Q18" s="20" t="inlineStr">
        <is>
          <t>AUTH-021</t>
        </is>
      </c>
      <c r="R18" s="20" t="inlineStr">
        <is>
          <t>Invalid or expired token</t>
        </is>
      </c>
      <c r="S18" s="20" t="inlineStr">
        <is>
          <t>Registered account/authenticated bearer as specified; see request data.</t>
        </is>
      </c>
      <c r="T18" s="20" t="inlineStr">
        <is>
          <t>token=invalid-token-string; newPassword=NewPassword123!</t>
        </is>
      </c>
      <c r="U18" s="20" t="inlineStr">
        <is>
          <t>1. Set precondition. 2. Send POST /api/v1/auth/reset-password. 3. Inspect response and database.</t>
        </is>
      </c>
      <c r="V18" s="20" t="n">
        <v>400</v>
      </c>
      <c r="W18" s="20" t="inlineStr">
        <is>
          <t>{code:"INVALID_TOKEN",message,traceId,details:{}}</t>
        </is>
      </c>
      <c r="X18" s="20" t="inlineStr">
        <is>
          <t>Password hash unchanged.</t>
        </is>
      </c>
      <c r="Y18" s="20" t="inlineStr">
        <is>
          <t>P1</t>
        </is>
      </c>
      <c r="Z18" s="20" t="inlineStr">
        <is>
          <t>Passed</t>
        </is>
      </c>
      <c r="AA18" s="20" t="inlineStr"/>
      <c r="AB18" s="20" t="inlineStr">
        <is>
          <t>test_reset_password_flow_and_reuse_fails</t>
        </is>
      </c>
    </row>
    <row r="19" ht="70" customHeight="1">
      <c r="A19" s="20" t="inlineStr">
        <is>
          <t>API-AUTH-022</t>
        </is>
      </c>
      <c r="B19" s="20" t="inlineStr">
        <is>
          <t>POST /api/v1/auth/reset-password</t>
        </is>
      </c>
      <c r="C19" s="20" t="inlineStr">
        <is>
          <t>Missing/short new password</t>
        </is>
      </c>
      <c r="D19" s="20" t="inlineStr">
        <is>
          <t>See explicit precondition</t>
        </is>
      </c>
      <c r="E19" s="20" t="inlineStr">
        <is>
          <t>omit newPassword / 5 characters</t>
        </is>
      </c>
      <c r="F19" s="20" t="inlineStr"/>
      <c r="G19" s="20" t="inlineStr">
        <is>
          <t>POST /api/v1/auth/reset-password: omit newPassword / 5 characters</t>
        </is>
      </c>
      <c r="H19" s="20" t="n">
        <v>422</v>
      </c>
      <c r="I19" s="20" t="inlineStr">
        <is>
          <t>{code:"VALIDATION_ERROR",message:"Request validation failed.",traceId:string,details:{errors:[...]}}</t>
        </is>
      </c>
      <c r="J19" s="20" t="inlineStr">
        <is>
          <t>No unintended mutation.</t>
        </is>
      </c>
      <c r="K19" s="20" t="inlineStr">
        <is>
          <t>Passed</t>
        </is>
      </c>
      <c r="L19" s="20" t="inlineStr">
        <is>
          <t>Automation</t>
        </is>
      </c>
      <c r="M19" s="20" t="inlineStr">
        <is>
          <t>Test passed in targeted API suite and full backend suite.</t>
        </is>
      </c>
      <c r="N19" s="20" t="inlineStr">
        <is>
          <t>API-AUTH-022</t>
        </is>
      </c>
      <c r="O19" s="20" t="inlineStr">
        <is>
          <t>Auth</t>
        </is>
      </c>
      <c r="P19" s="20" t="inlineStr">
        <is>
          <t>POST /api/v1/auth/reset-password</t>
        </is>
      </c>
      <c r="Q19" s="20" t="inlineStr">
        <is>
          <t>AUTH-022</t>
        </is>
      </c>
      <c r="R19" s="20" t="inlineStr">
        <is>
          <t>Missing/short new password</t>
        </is>
      </c>
      <c r="S19" s="20" t="inlineStr">
        <is>
          <t>Registered account/authenticated bearer as specified; see request data.</t>
        </is>
      </c>
      <c r="T19" s="20" t="inlineStr">
        <is>
          <t>omit newPassword / 5 characters</t>
        </is>
      </c>
      <c r="U19" s="20" t="inlineStr">
        <is>
          <t>1. Set precondition. 2. Send POST /api/v1/auth/reset-password. 3. Inspect response and database.</t>
        </is>
      </c>
      <c r="V19" s="20" t="n">
        <v>422</v>
      </c>
      <c r="W19" s="20" t="inlineStr">
        <is>
          <t>{code:"VALIDATION_ERROR",message:"Request validation failed.",traceId:string,details:{errors:[...]}}</t>
        </is>
      </c>
      <c r="X19" s="20" t="inlineStr">
        <is>
          <t>No unintended mutation.</t>
        </is>
      </c>
      <c r="Y19" s="20" t="inlineStr">
        <is>
          <t>P1</t>
        </is>
      </c>
      <c r="Z19" s="20" t="inlineStr">
        <is>
          <t>Passed</t>
        </is>
      </c>
      <c r="AA19" s="20" t="inlineStr"/>
      <c r="AB19" s="20" t="inlineStr">
        <is>
          <t>test_auth_validation_rejects_missing_fields_and_invalid_email; test_reset_password_rejects_short_password</t>
        </is>
      </c>
    </row>
    <row r="20" ht="70" customHeight="1">
      <c r="A20" t="inlineStr">
        <is>
          <t>API-AUTH-023</t>
        </is>
      </c>
      <c r="B20" t="inlineStr">
        <is>
          <t>POST /api/v1/auth/reset-password</t>
        </is>
      </c>
      <c r="C20" t="inlineStr">
        <is>
          <t>Valid reset token; login with new password</t>
        </is>
      </c>
      <c r="D20" t="inlineStr">
        <is>
          <t>Registered account; token captured by fake email sender.</t>
        </is>
      </c>
      <c r="E20" t="inlineStr">
        <is>
          <t>token=&lt;captured raw token&gt;; newPassword=NewPassword123!</t>
        </is>
      </c>
      <c r="G20" t="inlineStr">
        <is>
          <t>Request forgot; reset; verify old login fails and new login succeeds.</t>
        </is>
      </c>
      <c r="H20" t="inlineStr">
        <is>
          <t>200</t>
        </is>
      </c>
      <c r="I20" t="inlineStr">
        <is>
          <t>{message:"Password has been reset successfully."}</t>
        </is>
      </c>
      <c r="J20" t="inlineStr">
        <is>
          <t>Password hash updated; reset token used; refresh tokens revoked.</t>
        </is>
      </c>
      <c r="K20" t="inlineStr">
        <is>
          <t>Passed</t>
        </is>
      </c>
      <c r="L20" t="inlineStr">
        <is>
          <t>Automation</t>
        </is>
      </c>
      <c r="M20" t="inlineStr">
        <is>
          <t>Test passed in targeted API suite and full backend suite.</t>
        </is>
      </c>
      <c r="N20" s="20" t="inlineStr">
        <is>
          <t>API-AUTH-023</t>
        </is>
      </c>
      <c r="O20" s="20" t="inlineStr">
        <is>
          <t>Auth</t>
        </is>
      </c>
      <c r="P20" s="20" t="inlineStr">
        <is>
          <t>POST /api/v1/auth/reset-password</t>
        </is>
      </c>
      <c r="Q20" s="20" t="inlineStr">
        <is>
          <t>AUTH-023</t>
        </is>
      </c>
      <c r="R20" s="20" t="inlineStr">
        <is>
          <t>Valid reset token; login with new password</t>
        </is>
      </c>
      <c r="S20" s="20" t="inlineStr">
        <is>
          <t>Registered account; token captured by fake email sender.</t>
        </is>
      </c>
      <c r="T20" s="20" t="inlineStr">
        <is>
          <t>token=&lt;captured raw token&gt;; newPassword=NewPassword123!</t>
        </is>
      </c>
      <c r="U20" s="20" t="inlineStr">
        <is>
          <t>Request forgot; reset; verify old login fails and new login succeeds.</t>
        </is>
      </c>
      <c r="V20" s="20" t="inlineStr">
        <is>
          <t>200</t>
        </is>
      </c>
      <c r="W20" s="20" t="inlineStr">
        <is>
          <t>{message:"Password has been reset successfully."}</t>
        </is>
      </c>
      <c r="X20" s="20" t="inlineStr">
        <is>
          <t>Password hash updated; reset token used; refresh tokens revoked.</t>
        </is>
      </c>
      <c r="Y20" s="20" t="inlineStr">
        <is>
          <t>P0</t>
        </is>
      </c>
      <c r="Z20" s="20" t="inlineStr">
        <is>
          <t>Passed</t>
        </is>
      </c>
      <c r="AA20" s="20" t="inlineStr"/>
      <c r="AB20" s="20" t="inlineStr">
        <is>
          <t>test_reset_password_with_fake_email_token_changes_login_password</t>
        </is>
      </c>
    </row>
    <row r="21" ht="70" customHeight="1">
      <c r="A21" s="20" t="inlineStr">
        <is>
          <t>API-AUTH-025</t>
        </is>
      </c>
      <c r="B21" s="20" t="inlineStr">
        <is>
          <t>POST /api/v1/auth/reset-password</t>
        </is>
      </c>
      <c r="C21" s="20" t="inlineStr">
        <is>
          <t>Reset with expired token</t>
        </is>
      </c>
      <c r="D21" s="20" t="inlineStr">
        <is>
          <t>PasswordResetToken row exists with expiry in past.</t>
        </is>
      </c>
      <c r="E21" s="20" t="inlineStr">
        <is>
          <t>token=&lt;expired reset token&gt;; newPassword=NewPassword123!</t>
        </is>
      </c>
      <c r="F21" s="20" t="inlineStr"/>
      <c r="G21" s="20" t="inlineStr">
        <is>
          <t>Set expired token fixture; POST reset; verify login credentials unchanged.</t>
        </is>
      </c>
      <c r="H21" s="20" t="inlineStr">
        <is>
          <t>400</t>
        </is>
      </c>
      <c r="I21" s="20" t="inlineStr">
        <is>
          <t>{code:"TOKEN_EXPIRED",message,traceId,details:{}}</t>
        </is>
      </c>
      <c r="J21" s="20" t="inlineStr">
        <is>
          <t>Password hash unchanged; reset token not marked used.</t>
        </is>
      </c>
      <c r="K21" s="20" t="inlineStr">
        <is>
          <t>Passed</t>
        </is>
      </c>
      <c r="L21" s="20" t="inlineStr">
        <is>
          <t>Automation</t>
        </is>
      </c>
      <c r="M21" s="20" t="inlineStr">
        <is>
          <t>Test passed in targeted API suite and full backend suite.</t>
        </is>
      </c>
      <c r="N21" s="20" t="inlineStr">
        <is>
          <t>API-AUTH-025</t>
        </is>
      </c>
      <c r="O21" s="20" t="inlineStr">
        <is>
          <t>Auth</t>
        </is>
      </c>
      <c r="P21" s="20" t="inlineStr">
        <is>
          <t>POST /api/v1/auth/reset-password</t>
        </is>
      </c>
      <c r="Q21" s="20" t="inlineStr">
        <is>
          <t>AUTH-025</t>
        </is>
      </c>
      <c r="R21" s="20" t="inlineStr">
        <is>
          <t>Reset with expired token</t>
        </is>
      </c>
      <c r="S21" s="20" t="inlineStr">
        <is>
          <t>PasswordResetToken row exists with expiry in past.</t>
        </is>
      </c>
      <c r="T21" s="20" t="inlineStr">
        <is>
          <t>token=&lt;expired reset token&gt;; newPassword=NewPassword123!</t>
        </is>
      </c>
      <c r="U21" s="20" t="inlineStr">
        <is>
          <t>Set expired token fixture; POST reset; verify login credentials unchanged.</t>
        </is>
      </c>
      <c r="V21" s="20" t="inlineStr">
        <is>
          <t>400</t>
        </is>
      </c>
      <c r="W21" s="20" t="inlineStr">
        <is>
          <t>{code:"TOKEN_EXPIRED",message,traceId,details:{}}</t>
        </is>
      </c>
      <c r="X21" s="20" t="inlineStr">
        <is>
          <t>Password hash unchanged; reset token not marked used.</t>
        </is>
      </c>
      <c r="Y21" s="20" t="inlineStr">
        <is>
          <t>P1</t>
        </is>
      </c>
      <c r="Z21" s="20" t="inlineStr">
        <is>
          <t>Passed</t>
        </is>
      </c>
      <c r="AA21" s="20" t="inlineStr"/>
      <c r="AB21" s="20" t="inlineStr">
        <is>
          <t>test_reset_rejects_expired_token_without_changing_password</t>
        </is>
      </c>
    </row>
    <row r="22">
      <c r="A22" s="20" t="inlineStr">
        <is>
          <t>API-AUTH-026</t>
        </is>
      </c>
      <c r="B22" s="20" t="inlineStr">
        <is>
          <t>POST /api/v1/auth/reset-password</t>
        </is>
      </c>
      <c r="C22" s="20" t="inlineStr">
        <is>
          <t>Reuse already-used reset token</t>
        </is>
      </c>
      <c r="D22" s="20" t="inlineStr">
        <is>
          <t>Password reset token has already been consumed.</t>
        </is>
      </c>
      <c r="E22" s="20" t="inlineStr">
        <is>
          <t>token=&lt;used raw token&gt;; newPassword=OtherPassword123!</t>
        </is>
      </c>
      <c r="F22" s="20" t="inlineStr"/>
      <c r="G22" s="20" t="inlineStr">
        <is>
          <t>Consume token once; submit same token again; inspect response and password hash.</t>
        </is>
      </c>
      <c r="H22" s="20" t="inlineStr">
        <is>
          <t>400</t>
        </is>
      </c>
      <c r="I22" s="20" t="inlineStr">
        <is>
          <t>{code:"TOKEN_ALREADY_USED",message,traceId,details:{}}</t>
        </is>
      </c>
      <c r="J22" s="20" t="inlineStr">
        <is>
          <t>Password hash unchanged on reuse.</t>
        </is>
      </c>
      <c r="K22" s="20" t="inlineStr">
        <is>
          <t>Passed</t>
        </is>
      </c>
      <c r="L22" s="20" t="inlineStr">
        <is>
          <t>Automation</t>
        </is>
      </c>
      <c r="M22" s="20" t="inlineStr">
        <is>
          <t>Test passed in targeted API suite and full backend suite.</t>
        </is>
      </c>
      <c r="N22" s="20" t="inlineStr">
        <is>
          <t>API-AUTH-026</t>
        </is>
      </c>
      <c r="O22" s="20" t="inlineStr">
        <is>
          <t>Auth</t>
        </is>
      </c>
      <c r="P22" s="20" t="inlineStr">
        <is>
          <t>POST /api/v1/auth/reset-password</t>
        </is>
      </c>
      <c r="Q22" s="20" t="inlineStr">
        <is>
          <t>AUTH-026</t>
        </is>
      </c>
      <c r="R22" s="20" t="inlineStr">
        <is>
          <t>Reuse already-used reset token</t>
        </is>
      </c>
      <c r="S22" s="20" t="inlineStr">
        <is>
          <t>Password reset token has already been consumed.</t>
        </is>
      </c>
      <c r="T22" s="20" t="inlineStr">
        <is>
          <t>token=&lt;used raw token&gt;; newPassword=OtherPassword123!</t>
        </is>
      </c>
      <c r="U22" s="20" t="inlineStr">
        <is>
          <t>Consume token once; submit same token again; inspect response and password hash.</t>
        </is>
      </c>
      <c r="V22" s="20" t="inlineStr">
        <is>
          <t>400</t>
        </is>
      </c>
      <c r="W22" s="20" t="inlineStr">
        <is>
          <t>{code:"TOKEN_ALREADY_USED",message,traceId,details:{}}</t>
        </is>
      </c>
      <c r="X22" s="20" t="inlineStr">
        <is>
          <t>Password hash unchanged on reuse.</t>
        </is>
      </c>
      <c r="Y22" s="20" t="inlineStr">
        <is>
          <t>P1</t>
        </is>
      </c>
      <c r="Z22" s="20" t="inlineStr">
        <is>
          <t>Passed</t>
        </is>
      </c>
      <c r="AA22" s="20" t="inlineStr"/>
      <c r="AB22" s="20" t="inlineStr">
        <is>
          <t>test_reset_password_with_fake_email_token_changes_login_password</t>
        </is>
      </c>
    </row>
  </sheetData>
  <autoFilter ref="A14:AB22"/>
  <mergeCells count="15">
    <mergeCell ref="B3:G3"/>
    <mergeCell ref="B2:G2"/>
    <mergeCell ref="J13:J14"/>
    <mergeCell ref="L13:L14"/>
    <mergeCell ref="M13:M14"/>
    <mergeCell ref="A13:A14"/>
    <mergeCell ref="B13:B14"/>
    <mergeCell ref="E13:E14"/>
    <mergeCell ref="D13:D14"/>
    <mergeCell ref="B1:G1"/>
    <mergeCell ref="A12:M12"/>
    <mergeCell ref="K13:K14"/>
    <mergeCell ref="F13:G13"/>
    <mergeCell ref="H13:I13"/>
    <mergeCell ref="C13:C14"/>
  </mergeCells>
  <dataValidations count="2">
    <dataValidation sqref="K15:K18" showDropDown="0" showInputMessage="0" showErrorMessage="0" allowBlank="1" type="list">
      <formula1>"Passed,Failed,Blocked,Not run,N/A"</formula1>
    </dataValidation>
    <dataValidation sqref="L15:L18" showDropDown="0" showInputMessage="0" showErrorMessage="0" allowBlank="1" type="list">
      <formula1>"Automation,Manual,N/A"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B29"/>
  <sheetViews>
    <sheetView showGridLines="1" zoomScale="85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28" customWidth="1" min="4" max="4"/>
    <col width="24" customWidth="1" min="5" max="5"/>
    <col width="20" customWidth="1" min="6" max="6"/>
    <col width="30" customWidth="1" min="7" max="7"/>
    <col width="20" customWidth="1" min="8" max="8"/>
    <col width="38" customWidth="1" min="9" max="9"/>
    <col width="34" customWidth="1" min="10" max="10"/>
    <col width="13" customWidth="1" min="11" max="11"/>
    <col width="14" customWidth="1" min="12" max="12"/>
    <col width="30" customWidth="1" min="13" max="13"/>
    <col width="16" customWidth="1" min="14" max="14"/>
    <col width="13" customWidth="1" min="15" max="15"/>
    <col width="36" customWidth="1" min="16" max="16"/>
    <col width="17" customWidth="1" min="17" max="17"/>
    <col width="32" customWidth="1" min="18" max="18"/>
    <col width="33" customWidth="1" min="19" max="19"/>
    <col width="38" customWidth="1" min="20" max="20"/>
    <col width="42" customWidth="1" min="21" max="21"/>
    <col width="18" customWidth="1" min="22" max="22"/>
    <col width="45" customWidth="1" min="23" max="23"/>
    <col width="42" customWidth="1" min="24" max="24"/>
    <col width="12" customWidth="1" min="25" max="25"/>
    <col width="16" customWidth="1" min="26" max="26"/>
    <col width="18" customWidth="1" min="27" max="27"/>
    <col width="43" customWidth="1" min="28" max="28"/>
  </cols>
  <sheetData>
    <row r="1">
      <c r="A1" s="7" t="inlineStr">
        <is>
          <t>Project Name</t>
        </is>
      </c>
      <c r="B1" s="8" t="inlineStr">
        <is>
          <t>TalkWithMe</t>
        </is>
      </c>
      <c r="C1" s="9" t="n"/>
      <c r="D1" s="9" t="n"/>
      <c r="E1" s="9" t="n"/>
      <c r="F1" s="9" t="n"/>
      <c r="G1" s="10" t="n"/>
    </row>
    <row r="2">
      <c r="A2" s="7" t="inlineStr">
        <is>
          <t>API Name</t>
        </is>
      </c>
      <c r="B2" s="8" t="inlineStr">
        <is>
          <t>API004 Profile</t>
        </is>
      </c>
      <c r="C2" s="9" t="n"/>
      <c r="D2" s="9" t="n"/>
      <c r="E2" s="9" t="n"/>
      <c r="F2" s="9" t="n"/>
      <c r="G2" s="10" t="n"/>
    </row>
    <row r="3">
      <c r="A3" s="7" t="inlineStr">
        <is>
          <t>Owner</t>
        </is>
      </c>
      <c r="B3" s="8" t="inlineStr">
        <is>
          <t>QA / Backend Team</t>
        </is>
      </c>
      <c r="C3" s="9" t="n"/>
      <c r="D3" s="9" t="n"/>
      <c r="E3" s="9" t="n"/>
      <c r="F3" s="9" t="n"/>
      <c r="G3" s="10" t="n"/>
    </row>
    <row r="5">
      <c r="A5" s="11" t="inlineStr">
        <is>
          <t>PASSED</t>
        </is>
      </c>
      <c r="B5" s="8">
        <f>COUNTIF(Z15:Z29,"Passed")</f>
        <v/>
      </c>
    </row>
    <row r="6">
      <c r="A6" s="11" t="inlineStr">
        <is>
          <t>FAILED</t>
        </is>
      </c>
      <c r="B6" s="8">
        <f>COUNTIF(Z15:Z29,"Failed")</f>
        <v/>
      </c>
    </row>
    <row r="7">
      <c r="A7" s="11" t="inlineStr">
        <is>
          <t>PENDING</t>
        </is>
      </c>
      <c r="B7" s="8">
        <f>COUNTIF(Z15:Z29,"Blocked")</f>
        <v/>
      </c>
    </row>
    <row r="8">
      <c r="A8" s="11" t="inlineStr">
        <is>
          <t>NOT RUN</t>
        </is>
      </c>
      <c r="B8" s="8">
        <f>COUNTIF(Z15:Z29,"Not Run")</f>
        <v/>
      </c>
    </row>
    <row r="9">
      <c r="A9" s="11" t="inlineStr">
        <is>
          <t>AUTOMATION</t>
        </is>
      </c>
      <c r="B9" s="8">
        <f>COUNTIF(L15:L29,"Automation")</f>
        <v/>
      </c>
    </row>
    <row r="10">
      <c r="A10" s="11" t="inlineStr">
        <is>
          <t>MANUAL</t>
        </is>
      </c>
      <c r="B10" s="8">
        <f>COUNTIF(L15:L29,"Manual")</f>
        <v/>
      </c>
    </row>
    <row r="11">
      <c r="A11" s="12" t="inlineStr">
        <is>
          <t>Number of Testcase</t>
        </is>
      </c>
      <c r="B11" s="13">
        <f>COUNTA(A15:A29)</f>
        <v/>
      </c>
    </row>
    <row r="12">
      <c r="A12" s="14" t="inlineStr">
        <is>
          <t>Validate / Functional / Security</t>
        </is>
      </c>
    </row>
    <row r="13" ht="30" customHeight="1">
      <c r="A13" s="2" t="inlineStr">
        <is>
          <t>ID</t>
        </is>
      </c>
      <c r="B13" s="2" t="inlineStr">
        <is>
          <t>Item</t>
        </is>
      </c>
      <c r="C13" s="2" t="inlineStr">
        <is>
          <t>Testcase Name</t>
        </is>
      </c>
      <c r="D13" s="2" t="inlineStr">
        <is>
          <t>Precondition Test Case</t>
        </is>
      </c>
      <c r="E13" s="2" t="inlineStr">
        <is>
          <t>Test data</t>
        </is>
      </c>
      <c r="F13" s="2" t="inlineStr">
        <is>
          <t>Request</t>
        </is>
      </c>
      <c r="G13" s="10" t="n"/>
      <c r="H13" s="2" t="inlineStr">
        <is>
          <t>Expected Response</t>
        </is>
      </c>
      <c r="I13" s="10" t="n"/>
      <c r="J13" s="2" t="inlineStr">
        <is>
          <t>Expected Database</t>
        </is>
      </c>
      <c r="K13" s="2" t="inlineStr">
        <is>
          <t>Result</t>
        </is>
      </c>
      <c r="L13" s="2" t="inlineStr">
        <is>
          <t>Execution</t>
        </is>
      </c>
      <c r="M13" s="2" t="inlineStr">
        <is>
          <t>Note</t>
        </is>
      </c>
    </row>
    <row r="14" ht="28" customHeight="1">
      <c r="A14" s="17" t="n"/>
      <c r="B14" s="17" t="n"/>
      <c r="C14" s="17" t="n"/>
      <c r="D14" s="17" t="n"/>
      <c r="E14" s="17" t="n"/>
      <c r="F14" s="2" t="inlineStr">
        <is>
          <t>params</t>
        </is>
      </c>
      <c r="G14" s="2" t="inlineStr">
        <is>
          <t>body</t>
        </is>
      </c>
      <c r="H14" s="2" t="inlineStr">
        <is>
          <t>Status code</t>
        </is>
      </c>
      <c r="I14" s="2" t="inlineStr">
        <is>
          <t>Body</t>
        </is>
      </c>
      <c r="J14" s="17" t="n"/>
      <c r="K14" s="17" t="n"/>
      <c r="L14" s="17" t="n"/>
      <c r="M14" s="17" t="n"/>
      <c r="N14" s="18" t="inlineStr">
        <is>
          <t>Case ID</t>
        </is>
      </c>
      <c r="O14" s="18" t="inlineStr">
        <is>
          <t>Module</t>
        </is>
      </c>
      <c r="P14" s="18" t="inlineStr">
        <is>
          <t>Method/Path</t>
        </is>
      </c>
      <c r="Q14" s="18" t="inlineStr">
        <is>
          <t>Viewpoint ID</t>
        </is>
      </c>
      <c r="R14" s="18" t="inlineStr">
        <is>
          <t>Testcase Name</t>
        </is>
      </c>
      <c r="S14" s="18" t="inlineStr">
        <is>
          <t>Precondition</t>
        </is>
      </c>
      <c r="T14" s="18" t="inlineStr">
        <is>
          <t>Request/Test Data</t>
        </is>
      </c>
      <c r="U14" s="18" t="inlineStr">
        <is>
          <t>Steps</t>
        </is>
      </c>
      <c r="V14" s="18" t="inlineStr">
        <is>
          <t>Expected HTTP Status</t>
        </is>
      </c>
      <c r="W14" s="18" t="inlineStr">
        <is>
          <t>Expected Response Body</t>
        </is>
      </c>
      <c r="X14" s="18" t="inlineStr">
        <is>
          <t>Expected Database</t>
        </is>
      </c>
      <c r="Y14" s="18" t="inlineStr">
        <is>
          <t>Priority</t>
        </is>
      </c>
      <c r="Z14" s="18" t="inlineStr">
        <is>
          <t>Execution Result</t>
        </is>
      </c>
      <c r="AA14" s="18" t="inlineStr">
        <is>
          <t>Defect Link</t>
        </is>
      </c>
      <c r="AB14" s="18" t="inlineStr">
        <is>
          <t>Automation Test / Manual Reason</t>
        </is>
      </c>
    </row>
    <row r="15" ht="70" customHeight="1">
      <c r="A15" s="19" t="inlineStr">
        <is>
          <t>API-PROFILE-001</t>
        </is>
      </c>
      <c r="B15" s="19" t="inlineStr">
        <is>
          <t>GET /api/v1/me</t>
        </is>
      </c>
      <c r="C15" s="19" t="inlineStr">
        <is>
          <t>Get own profile</t>
        </is>
      </c>
      <c r="D15" s="19" t="inlineStr">
        <is>
          <t>See explicit precondition</t>
        </is>
      </c>
      <c r="E15" s="19" t="inlineStr">
        <is>
          <t>Bearer token A</t>
        </is>
      </c>
      <c r="F15" s="19" t="inlineStr"/>
      <c r="G15" s="19" t="inlineStr">
        <is>
          <t>GET /api/v1/me: Bearer token A</t>
        </is>
      </c>
      <c r="H15" s="19" t="n">
        <v>200</v>
      </c>
      <c r="I15" s="19" t="inlineStr">
        <is>
          <t>MeResponse with id,email,fullName,avatarUrl,createdAt,profile fields</t>
        </is>
      </c>
      <c r="J15" s="19" t="inlineStr">
        <is>
          <t>No mutation; response belongs to A.</t>
        </is>
      </c>
      <c r="K15" s="19" t="inlineStr">
        <is>
          <t>Passed</t>
        </is>
      </c>
      <c r="L15" s="19" t="inlineStr">
        <is>
          <t>Automation</t>
        </is>
      </c>
      <c r="M15" s="19" t="inlineStr">
        <is>
          <t>Test passed in targeted API suite and full backend suite.</t>
        </is>
      </c>
      <c r="N15" s="20" t="inlineStr">
        <is>
          <t>API-PROFILE-001</t>
        </is>
      </c>
      <c r="O15" s="20" t="inlineStr">
        <is>
          <t>Profile</t>
        </is>
      </c>
      <c r="P15" s="20" t="inlineStr">
        <is>
          <t>GET /api/v1/me</t>
        </is>
      </c>
      <c r="Q15" s="20" t="inlineStr">
        <is>
          <t>PROFILE-001</t>
        </is>
      </c>
      <c r="R15" s="20" t="inlineStr">
        <is>
          <t>Get own profile</t>
        </is>
      </c>
      <c r="S15" s="20" t="inlineStr">
        <is>
          <t>Registered account/authenticated bearer as specified; see request data.</t>
        </is>
      </c>
      <c r="T15" s="20" t="inlineStr">
        <is>
          <t>Bearer token A</t>
        </is>
      </c>
      <c r="U15" s="20" t="inlineStr">
        <is>
          <t>1. Set precondition. 2. Send GET /api/v1/me. 3. Inspect response and database.</t>
        </is>
      </c>
      <c r="V15" s="20" t="n">
        <v>200</v>
      </c>
      <c r="W15" s="20" t="inlineStr">
        <is>
          <t>MeResponse with id,email,fullName,avatarUrl,createdAt,profile fields</t>
        </is>
      </c>
      <c r="X15" s="20" t="inlineStr">
        <is>
          <t>No mutation; response belongs to A.</t>
        </is>
      </c>
      <c r="Y15" s="20" t="inlineStr">
        <is>
          <t>P0</t>
        </is>
      </c>
      <c r="Z15" s="20" t="inlineStr">
        <is>
          <t>Passed</t>
        </is>
      </c>
      <c r="AA15" s="20" t="inlineStr"/>
      <c r="AB15" s="20" t="inlineStr">
        <is>
          <t>test_get_profile_returns_authenticated_users_data</t>
        </is>
      </c>
    </row>
    <row r="16" ht="70" customHeight="1">
      <c r="A16" s="21" t="inlineStr">
        <is>
          <t>API-PROFILE-002</t>
        </is>
      </c>
      <c r="B16" s="21" t="inlineStr">
        <is>
          <t>GET /api/v1/me</t>
        </is>
      </c>
      <c r="C16" s="21" t="inlineStr">
        <is>
          <t>Unauthenticated / invalid bearer</t>
        </is>
      </c>
      <c r="D16" s="21" t="inlineStr">
        <is>
          <t>See explicit precondition</t>
        </is>
      </c>
      <c r="E16" s="21" t="inlineStr">
        <is>
          <t>No token / Bearer invalid-token</t>
        </is>
      </c>
      <c r="F16" s="21" t="inlineStr"/>
      <c r="G16" s="21" t="inlineStr">
        <is>
          <t>GET /api/v1/me: No token / Bearer invalid-token</t>
        </is>
      </c>
      <c r="H16" s="21" t="inlineStr">
        <is>
          <t>401 / 401</t>
        </is>
      </c>
      <c r="I16" s="21" t="inlineStr">
        <is>
          <t>UNAUTHORIZED / INVALID_TOKEN</t>
        </is>
      </c>
      <c r="J16" s="21" t="inlineStr">
        <is>
          <t>No mutation.</t>
        </is>
      </c>
      <c r="K16" s="21" t="inlineStr">
        <is>
          <t>Passed</t>
        </is>
      </c>
      <c r="L16" s="21" t="inlineStr">
        <is>
          <t>Automation</t>
        </is>
      </c>
      <c r="M16" s="21" t="inlineStr">
        <is>
          <t>Test passed in targeted API suite and full backend suite.</t>
        </is>
      </c>
      <c r="N16" s="20" t="inlineStr">
        <is>
          <t>API-PROFILE-002</t>
        </is>
      </c>
      <c r="O16" s="20" t="inlineStr">
        <is>
          <t>Profile</t>
        </is>
      </c>
      <c r="P16" s="20" t="inlineStr">
        <is>
          <t>GET /api/v1/me</t>
        </is>
      </c>
      <c r="Q16" s="20" t="inlineStr">
        <is>
          <t>PROFILE-002</t>
        </is>
      </c>
      <c r="R16" s="20" t="inlineStr">
        <is>
          <t>Unauthenticated / invalid bearer</t>
        </is>
      </c>
      <c r="S16" s="20" t="inlineStr">
        <is>
          <t>Registered account/authenticated bearer as specified; see request data.</t>
        </is>
      </c>
      <c r="T16" s="20" t="inlineStr">
        <is>
          <t>No token / Bearer invalid-token</t>
        </is>
      </c>
      <c r="U16" s="20" t="inlineStr">
        <is>
          <t>1. Set precondition. 2. Send GET /api/v1/me. 3. Inspect response and database.</t>
        </is>
      </c>
      <c r="V16" s="20" t="inlineStr">
        <is>
          <t>401 / 401</t>
        </is>
      </c>
      <c r="W16" s="20" t="inlineStr">
        <is>
          <t>UNAUTHORIZED / INVALID_TOKEN</t>
        </is>
      </c>
      <c r="X16" s="20" t="inlineStr">
        <is>
          <t>No mutation.</t>
        </is>
      </c>
      <c r="Y16" s="20" t="inlineStr">
        <is>
          <t>P1</t>
        </is>
      </c>
      <c r="Z16" s="20" t="inlineStr">
        <is>
          <t>Passed</t>
        </is>
      </c>
      <c r="AA16" s="20" t="inlineStr"/>
      <c r="AB16" s="20" t="inlineStr">
        <is>
          <t>test_profile_endpoints_reject_missing_or_invalid_authentication</t>
        </is>
      </c>
    </row>
    <row r="17" ht="70" customHeight="1">
      <c r="A17" s="19" t="inlineStr">
        <is>
          <t>API-PROFILE-003</t>
        </is>
      </c>
      <c r="B17" s="19" t="inlineStr">
        <is>
          <t>PATCH /api/v1/me</t>
        </is>
      </c>
      <c r="C17" s="19" t="inlineStr">
        <is>
          <t>Update name and verify trimmed persistence</t>
        </is>
      </c>
      <c r="D17" s="19" t="inlineStr">
        <is>
          <t>See explicit precondition</t>
        </is>
      </c>
      <c r="E17" s="19" t="inlineStr">
        <is>
          <t>{fullName:" Updated A "}</t>
        </is>
      </c>
      <c r="F17" s="19" t="inlineStr"/>
      <c r="G17" s="19" t="inlineStr">
        <is>
          <t>PATCH /api/v1/me: {fullName:" Updated A "}</t>
        </is>
      </c>
      <c r="H17" s="19" t="n">
        <v>200</v>
      </c>
      <c r="I17" s="19" t="inlineStr">
        <is>
          <t>MeResponse; fullName="Updated A"</t>
        </is>
      </c>
      <c r="J17" s="19" t="inlineStr">
        <is>
          <t>users.full_name updated only.</t>
        </is>
      </c>
      <c r="K17" s="19" t="inlineStr">
        <is>
          <t>Passed</t>
        </is>
      </c>
      <c r="L17" s="19" t="inlineStr">
        <is>
          <t>Automation</t>
        </is>
      </c>
      <c r="M17" s="19" t="inlineStr">
        <is>
          <t>Test passed in targeted API suite and full backend suite.</t>
        </is>
      </c>
      <c r="N17" s="20" t="inlineStr">
        <is>
          <t>API-PROFILE-003</t>
        </is>
      </c>
      <c r="O17" s="20" t="inlineStr">
        <is>
          <t>Profile</t>
        </is>
      </c>
      <c r="P17" s="20" t="inlineStr">
        <is>
          <t>PATCH /api/v1/me</t>
        </is>
      </c>
      <c r="Q17" s="20" t="inlineStr">
        <is>
          <t>PROFILE-003</t>
        </is>
      </c>
      <c r="R17" s="20" t="inlineStr">
        <is>
          <t>Update name and verify trimmed persistence</t>
        </is>
      </c>
      <c r="S17" s="20" t="inlineStr">
        <is>
          <t>Registered account/authenticated bearer as specified; see request data.</t>
        </is>
      </c>
      <c r="T17" s="20" t="inlineStr">
        <is>
          <t>{fullName:" Updated A "}</t>
        </is>
      </c>
      <c r="U17" s="20" t="inlineStr">
        <is>
          <t>1. Set precondition. 2. Send PATCH /api/v1/me. 3. Inspect response and database.</t>
        </is>
      </c>
      <c r="V17" s="20" t="n">
        <v>200</v>
      </c>
      <c r="W17" s="20" t="inlineStr">
        <is>
          <t>MeResponse; fullName="Updated A"</t>
        </is>
      </c>
      <c r="X17" s="20" t="inlineStr">
        <is>
          <t>users.full_name updated only.</t>
        </is>
      </c>
      <c r="Y17" s="20" t="inlineStr">
        <is>
          <t>P0</t>
        </is>
      </c>
      <c r="Z17" s="20" t="inlineStr">
        <is>
          <t>Passed</t>
        </is>
      </c>
      <c r="AA17" s="20" t="inlineStr"/>
      <c r="AB17" s="20" t="inlineStr">
        <is>
          <t>test_patch_profile_persists_only_submitted_fields</t>
        </is>
      </c>
    </row>
    <row r="18" ht="70" customHeight="1">
      <c r="A18" s="21" t="inlineStr">
        <is>
          <t>API-PROFILE-004</t>
        </is>
      </c>
      <c r="B18" s="21" t="inlineStr">
        <is>
          <t>PATCH /api/v1/me</t>
        </is>
      </c>
      <c r="C18" s="21" t="inlineStr">
        <is>
          <t>Blank/121-char name</t>
        </is>
      </c>
      <c r="D18" s="21" t="inlineStr">
        <is>
          <t>See explicit precondition</t>
        </is>
      </c>
      <c r="E18" s="21" t="inlineStr">
        <is>
          <t>fullName="" / 121 chars</t>
        </is>
      </c>
      <c r="F18" s="21" t="inlineStr"/>
      <c r="G18" s="21" t="inlineStr">
        <is>
          <t>PATCH /api/v1/me: fullName="" / 121 chars</t>
        </is>
      </c>
      <c r="H18" s="21" t="n">
        <v>422</v>
      </c>
      <c r="I18" s="21" t="inlineStr">
        <is>
          <t>{code:"VALIDATION_ERROR",message:"Request validation failed.",traceId:string,details:{errors:[...]}}</t>
        </is>
      </c>
      <c r="J18" s="21" t="inlineStr">
        <is>
          <t>Existing user unchanged.</t>
        </is>
      </c>
      <c r="K18" s="21" t="inlineStr">
        <is>
          <t>Passed</t>
        </is>
      </c>
      <c r="L18" s="21" t="inlineStr">
        <is>
          <t>Automation</t>
        </is>
      </c>
      <c r="M18" s="21" t="inlineStr">
        <is>
          <t>Test passed in targeted API suite and full backend suite.</t>
        </is>
      </c>
      <c r="N18" s="20" t="inlineStr">
        <is>
          <t>API-PROFILE-004</t>
        </is>
      </c>
      <c r="O18" s="20" t="inlineStr">
        <is>
          <t>Profile</t>
        </is>
      </c>
      <c r="P18" s="20" t="inlineStr">
        <is>
          <t>PATCH /api/v1/me</t>
        </is>
      </c>
      <c r="Q18" s="20" t="inlineStr">
        <is>
          <t>PROFILE-004</t>
        </is>
      </c>
      <c r="R18" s="20" t="inlineStr">
        <is>
          <t>Blank/121-char name</t>
        </is>
      </c>
      <c r="S18" s="20" t="inlineStr">
        <is>
          <t>Registered account/authenticated bearer as specified; see request data.</t>
        </is>
      </c>
      <c r="T18" s="20" t="inlineStr">
        <is>
          <t>fullName="" / 121 chars</t>
        </is>
      </c>
      <c r="U18" s="20" t="inlineStr">
        <is>
          <t>1. Set precondition. 2. Send PATCH /api/v1/me. 3. Inspect response and database.</t>
        </is>
      </c>
      <c r="V18" s="20" t="n">
        <v>422</v>
      </c>
      <c r="W18" s="20" t="inlineStr">
        <is>
          <t>{code:"VALIDATION_ERROR",message:"Request validation failed.",traceId:string,details:{errors:[...]}}</t>
        </is>
      </c>
      <c r="X18" s="20" t="inlineStr">
        <is>
          <t>Existing user unchanged.</t>
        </is>
      </c>
      <c r="Y18" s="20" t="inlineStr">
        <is>
          <t>P1</t>
        </is>
      </c>
      <c r="Z18" s="20" t="inlineStr">
        <is>
          <t>Passed</t>
        </is>
      </c>
      <c r="AA18" s="20" t="inlineStr"/>
      <c r="AB18" s="20" t="inlineStr">
        <is>
          <t>test_patch_profile_rejects_invalid_name_without_mutation</t>
        </is>
      </c>
    </row>
    <row r="19" ht="70" customHeight="1">
      <c r="A19" s="19" t="inlineStr">
        <is>
          <t>API-PROFILE-005</t>
        </is>
      </c>
      <c r="B19" s="19" t="inlineStr">
        <is>
          <t>PATCH /api/v1/me</t>
        </is>
      </c>
      <c r="C19" s="19" t="inlineStr">
        <is>
          <t>Partial update preserves omitted avatar</t>
        </is>
      </c>
      <c r="D19" s="19" t="inlineStr">
        <is>
          <t>See explicit precondition</t>
        </is>
      </c>
      <c r="E19" s="19" t="inlineStr">
        <is>
          <t>Only {fullName:"New Name"}</t>
        </is>
      </c>
      <c r="F19" s="19" t="inlineStr"/>
      <c r="G19" s="19" t="inlineStr">
        <is>
          <t>PATCH /api/v1/me: Only {fullName:"New Name"}</t>
        </is>
      </c>
      <c r="H19" s="19" t="n">
        <v>200</v>
      </c>
      <c r="I19" s="19" t="inlineStr">
        <is>
          <t>MeResponse; prior avatarUrl retained</t>
        </is>
      </c>
      <c r="J19" s="19" t="inlineStr">
        <is>
          <t>Only full_name updated.</t>
        </is>
      </c>
      <c r="K19" s="19" t="inlineStr">
        <is>
          <t>Passed</t>
        </is>
      </c>
      <c r="L19" s="19" t="inlineStr">
        <is>
          <t>Automation</t>
        </is>
      </c>
      <c r="M19" s="19" t="inlineStr">
        <is>
          <t>Test passed in targeted API suite and full backend suite.</t>
        </is>
      </c>
      <c r="N19" s="20" t="inlineStr">
        <is>
          <t>API-PROFILE-005</t>
        </is>
      </c>
      <c r="O19" s="20" t="inlineStr">
        <is>
          <t>Profile</t>
        </is>
      </c>
      <c r="P19" s="20" t="inlineStr">
        <is>
          <t>PATCH /api/v1/me</t>
        </is>
      </c>
      <c r="Q19" s="20" t="inlineStr">
        <is>
          <t>PROFILE-005</t>
        </is>
      </c>
      <c r="R19" s="20" t="inlineStr">
        <is>
          <t>Partial update preserves omitted avatar</t>
        </is>
      </c>
      <c r="S19" s="20" t="inlineStr">
        <is>
          <t>Registered account/authenticated bearer as specified; see request data.</t>
        </is>
      </c>
      <c r="T19" s="20" t="inlineStr">
        <is>
          <t>Only {fullName:"New Name"}</t>
        </is>
      </c>
      <c r="U19" s="20" t="inlineStr">
        <is>
          <t>1. Set precondition. 2. Send PATCH /api/v1/me. 3. Inspect response and database.</t>
        </is>
      </c>
      <c r="V19" s="20" t="n">
        <v>200</v>
      </c>
      <c r="W19" s="20" t="inlineStr">
        <is>
          <t>MeResponse; prior avatarUrl retained</t>
        </is>
      </c>
      <c r="X19" s="20" t="inlineStr">
        <is>
          <t>Only full_name updated.</t>
        </is>
      </c>
      <c r="Y19" s="20" t="inlineStr">
        <is>
          <t>P1</t>
        </is>
      </c>
      <c r="Z19" s="20" t="inlineStr">
        <is>
          <t>Passed</t>
        </is>
      </c>
      <c r="AA19" s="20" t="inlineStr"/>
      <c r="AB19" s="20" t="inlineStr">
        <is>
          <t>test_patch_profile_persists_only_submitted_fields</t>
        </is>
      </c>
    </row>
    <row r="20" ht="70" customHeight="1">
      <c r="A20" s="21" t="inlineStr">
        <is>
          <t>API-PROFILE-006</t>
        </is>
      </c>
      <c r="B20" s="21" t="inlineStr">
        <is>
          <t>POST /api/v1/me/avatar</t>
        </is>
      </c>
      <c r="C20" s="21" t="inlineStr">
        <is>
          <t>Valid image at/below 2 MiB</t>
        </is>
      </c>
      <c r="D20" s="21" t="inlineStr">
        <is>
          <t>See explicit precondition</t>
        </is>
      </c>
      <c r="E20" s="21" t="inlineStr">
        <is>
          <t>multipart image/png, nonempty, &lt;=2MiB</t>
        </is>
      </c>
      <c r="F20" s="21" t="inlineStr"/>
      <c r="G20" s="21" t="inlineStr">
        <is>
          <t>POST /api/v1/me/avatar: multipart image/png, nonempty, &lt;=2MiB</t>
        </is>
      </c>
      <c r="H20" s="21" t="n">
        <v>200</v>
      </c>
      <c r="I20" s="21" t="inlineStr">
        <is>
          <t>{avatarUrl:string}</t>
        </is>
      </c>
      <c r="J20" s="21" t="inlineStr">
        <is>
          <t>Avatar stored; users.avatar_url updated.</t>
        </is>
      </c>
      <c r="K20" s="21" t="inlineStr">
        <is>
          <t>Passed</t>
        </is>
      </c>
      <c r="L20" s="21" t="inlineStr">
        <is>
          <t>Automation</t>
        </is>
      </c>
      <c r="M20" s="21" t="inlineStr">
        <is>
          <t>Test passed in targeted API suite and full backend suite.</t>
        </is>
      </c>
      <c r="N20" s="20" t="inlineStr">
        <is>
          <t>API-PROFILE-006</t>
        </is>
      </c>
      <c r="O20" s="20" t="inlineStr">
        <is>
          <t>Profile</t>
        </is>
      </c>
      <c r="P20" s="20" t="inlineStr">
        <is>
          <t>POST /api/v1/me/avatar</t>
        </is>
      </c>
      <c r="Q20" s="20" t="inlineStr">
        <is>
          <t>PROFILE-006</t>
        </is>
      </c>
      <c r="R20" s="20" t="inlineStr">
        <is>
          <t>Valid image at/below 2 MiB</t>
        </is>
      </c>
      <c r="S20" s="20" t="inlineStr">
        <is>
          <t>Registered account/authenticated bearer as specified; see request data.</t>
        </is>
      </c>
      <c r="T20" s="20" t="inlineStr">
        <is>
          <t>multipart image/png, nonempty, &lt;=2MiB</t>
        </is>
      </c>
      <c r="U20" s="20" t="inlineStr">
        <is>
          <t>1. Set precondition. 2. Send POST /api/v1/me/avatar. 3. Inspect response and database.</t>
        </is>
      </c>
      <c r="V20" s="20" t="n">
        <v>200</v>
      </c>
      <c r="W20" s="20" t="inlineStr">
        <is>
          <t>{avatarUrl:string}</t>
        </is>
      </c>
      <c r="X20" s="20" t="inlineStr">
        <is>
          <t>Avatar stored; users.avatar_url updated.</t>
        </is>
      </c>
      <c r="Y20" s="20" t="inlineStr">
        <is>
          <t>P0</t>
        </is>
      </c>
      <c r="Z20" s="20" t="inlineStr">
        <is>
          <t>Passed</t>
        </is>
      </c>
      <c r="AA20" s="20" t="inlineStr"/>
      <c r="AB20" s="20" t="inlineStr">
        <is>
          <t>test_avatar_upload_accepts_supported_image_and_persists_url</t>
        </is>
      </c>
    </row>
    <row r="21" ht="70" customHeight="1">
      <c r="A21" s="19" t="inlineStr">
        <is>
          <t>API-PROFILE-007</t>
        </is>
      </c>
      <c r="B21" s="19" t="inlineStr">
        <is>
          <t>POST /api/v1/me/avatar</t>
        </is>
      </c>
      <c r="C21" s="19" t="inlineStr">
        <is>
          <t>Unsupported MIME / empty file / above 2 MiB</t>
        </is>
      </c>
      <c r="D21" s="19" t="inlineStr">
        <is>
          <t>See explicit precondition</t>
        </is>
      </c>
      <c r="E21" s="19" t="inlineStr">
        <is>
          <t>text/plain; zero-byte PNG; PNG of 2MiB+1</t>
        </is>
      </c>
      <c r="F21" s="19" t="inlineStr"/>
      <c r="G21" s="19" t="inlineStr">
        <is>
          <t>POST /api/v1/me/avatar: text/plain; zero-byte PNG; PNG of 2MiB+1</t>
        </is>
      </c>
      <c r="H21" s="19" t="inlineStr">
        <is>
          <t>400 / 400 / 400</t>
        </is>
      </c>
      <c r="I21" s="19" t="inlineStr">
        <is>
          <t>INVALID_IMAGE_TYPE / EMPTY_FILE / FILE_TOO_LARGE</t>
        </is>
      </c>
      <c r="J21" s="19" t="inlineStr">
        <is>
          <t>avatar_url unchanged.</t>
        </is>
      </c>
      <c r="K21" s="19" t="inlineStr">
        <is>
          <t>Passed</t>
        </is>
      </c>
      <c r="L21" s="19" t="inlineStr">
        <is>
          <t>Automation</t>
        </is>
      </c>
      <c r="M21" s="19" t="inlineStr">
        <is>
          <t>Test passed in targeted API suite and full backend suite.</t>
        </is>
      </c>
      <c r="N21" s="20" t="inlineStr">
        <is>
          <t>API-PROFILE-007</t>
        </is>
      </c>
      <c r="O21" s="20" t="inlineStr">
        <is>
          <t>Profile</t>
        </is>
      </c>
      <c r="P21" s="20" t="inlineStr">
        <is>
          <t>POST /api/v1/me/avatar</t>
        </is>
      </c>
      <c r="Q21" s="20" t="inlineStr">
        <is>
          <t>PROFILE-007</t>
        </is>
      </c>
      <c r="R21" s="20" t="inlineStr">
        <is>
          <t>Unsupported MIME / empty file / above 2 MiB</t>
        </is>
      </c>
      <c r="S21" s="20" t="inlineStr">
        <is>
          <t>Registered account/authenticated bearer as specified; see request data.</t>
        </is>
      </c>
      <c r="T21" s="20" t="inlineStr">
        <is>
          <t>text/plain; zero-byte PNG; PNG of 2MiB+1</t>
        </is>
      </c>
      <c r="U21" s="20" t="inlineStr">
        <is>
          <t>1. Set precondition. 2. Send POST /api/v1/me/avatar. 3. Inspect response and database.</t>
        </is>
      </c>
      <c r="V21" s="20" t="inlineStr">
        <is>
          <t>400 / 400 / 400</t>
        </is>
      </c>
      <c r="W21" s="20" t="inlineStr">
        <is>
          <t>INVALID_IMAGE_TYPE / EMPTY_FILE / FILE_TOO_LARGE</t>
        </is>
      </c>
      <c r="X21" s="20" t="inlineStr">
        <is>
          <t>avatar_url unchanged.</t>
        </is>
      </c>
      <c r="Y21" s="20" t="inlineStr">
        <is>
          <t>P1</t>
        </is>
      </c>
      <c r="Z21" s="20" t="inlineStr">
        <is>
          <t>Passed</t>
        </is>
      </c>
      <c r="AA21" s="20" t="inlineStr"/>
      <c r="AB21" s="20" t="inlineStr">
        <is>
          <t>test_avatar_upload_rejects_wrong_mime_and_file_over_two_mib; test_avatar_upload_rejects_missing_and_empty_files</t>
        </is>
      </c>
    </row>
    <row r="22" ht="70" customHeight="1">
      <c r="A22" s="21" t="inlineStr">
        <is>
          <t>API-PROFILE-008</t>
        </is>
      </c>
      <c r="B22" s="21" t="inlineStr">
        <is>
          <t>POST /api/v1/me/avatar</t>
        </is>
      </c>
      <c r="C22" s="21" t="inlineStr">
        <is>
          <t>Unauthenticated upload</t>
        </is>
      </c>
      <c r="D22" s="21" t="inlineStr">
        <is>
          <t>See explicit precondition</t>
        </is>
      </c>
      <c r="E22" s="21" t="inlineStr">
        <is>
          <t>Valid multipart image without bearer</t>
        </is>
      </c>
      <c r="F22" s="21" t="inlineStr"/>
      <c r="G22" s="21" t="inlineStr">
        <is>
          <t>POST /api/v1/me/avatar: Valid multipart image without bearer</t>
        </is>
      </c>
      <c r="H22" s="21" t="n">
        <v>401</v>
      </c>
      <c r="I22" s="21" t="inlineStr">
        <is>
          <t>{code:"UNAUTHORIZED",...}</t>
        </is>
      </c>
      <c r="J22" s="21" t="inlineStr">
        <is>
          <t>No file stored.</t>
        </is>
      </c>
      <c r="K22" s="21" t="inlineStr">
        <is>
          <t>Passed</t>
        </is>
      </c>
      <c r="L22" s="21" t="inlineStr">
        <is>
          <t>Automation</t>
        </is>
      </c>
      <c r="M22" s="21" t="inlineStr">
        <is>
          <t>Test passed in targeted API suite and full backend suite.</t>
        </is>
      </c>
      <c r="N22" s="20" t="inlineStr">
        <is>
          <t>API-PROFILE-008</t>
        </is>
      </c>
      <c r="O22" s="20" t="inlineStr">
        <is>
          <t>Profile</t>
        </is>
      </c>
      <c r="P22" s="20" t="inlineStr">
        <is>
          <t>POST /api/v1/me/avatar</t>
        </is>
      </c>
      <c r="Q22" s="20" t="inlineStr">
        <is>
          <t>PROFILE-008</t>
        </is>
      </c>
      <c r="R22" s="20" t="inlineStr">
        <is>
          <t>Unauthenticated upload</t>
        </is>
      </c>
      <c r="S22" s="20" t="inlineStr">
        <is>
          <t>Registered account/authenticated bearer as specified; see request data.</t>
        </is>
      </c>
      <c r="T22" s="20" t="inlineStr">
        <is>
          <t>Valid multipart image without bearer</t>
        </is>
      </c>
      <c r="U22" s="20" t="inlineStr">
        <is>
          <t>1. Set precondition. 2. Send POST /api/v1/me/avatar. 3. Inspect response and database.</t>
        </is>
      </c>
      <c r="V22" s="20" t="n">
        <v>401</v>
      </c>
      <c r="W22" s="20" t="inlineStr">
        <is>
          <t>{code:"UNAUTHORIZED",...}</t>
        </is>
      </c>
      <c r="X22" s="20" t="inlineStr">
        <is>
          <t>No file stored.</t>
        </is>
      </c>
      <c r="Y22" s="20" t="inlineStr">
        <is>
          <t>P1</t>
        </is>
      </c>
      <c r="Z22" s="20" t="inlineStr">
        <is>
          <t>Passed</t>
        </is>
      </c>
      <c r="AA22" s="20" t="inlineStr"/>
      <c r="AB22" s="20" t="inlineStr">
        <is>
          <t>test_profile_endpoints_reject_missing_or_invalid_authentication</t>
        </is>
      </c>
    </row>
    <row r="23" ht="70" customHeight="1">
      <c r="A23" s="19" t="inlineStr">
        <is>
          <t>API-PROFILE-009</t>
        </is>
      </c>
      <c r="B23" s="19" t="inlineStr">
        <is>
          <t>POST /api/v1/me/change-password</t>
        </is>
      </c>
      <c r="C23" s="19" t="inlineStr">
        <is>
          <t>Correct old password, new password works</t>
        </is>
      </c>
      <c r="D23" s="19" t="inlineStr">
        <is>
          <t>See explicit precondition</t>
        </is>
      </c>
      <c r="E23" s="19" t="inlineStr">
        <is>
          <t>oldPassword=Password123!; newPassword=NewPassword123!</t>
        </is>
      </c>
      <c r="F23" s="19" t="inlineStr"/>
      <c r="G23" s="19" t="inlineStr">
        <is>
          <t>POST /api/v1/me/change-password: oldPassword=Password123!; newPassword=NewPassword123!</t>
        </is>
      </c>
      <c r="H23" s="19" t="n">
        <v>200</v>
      </c>
      <c r="I23" s="19" t="inlineStr">
        <is>
          <t>{message:success message}</t>
        </is>
      </c>
      <c r="J23" s="19" t="inlineStr">
        <is>
          <t>Hash changed; refresh tokens revoked; old login fails, new succeeds.</t>
        </is>
      </c>
      <c r="K23" s="19" t="inlineStr">
        <is>
          <t>Passed</t>
        </is>
      </c>
      <c r="L23" s="19" t="inlineStr">
        <is>
          <t>Automation</t>
        </is>
      </c>
      <c r="M23" s="19" t="inlineStr">
        <is>
          <t>Test passed in targeted API suite and full backend suite.</t>
        </is>
      </c>
      <c r="N23" s="20" t="inlineStr">
        <is>
          <t>API-PROFILE-009</t>
        </is>
      </c>
      <c r="O23" s="20" t="inlineStr">
        <is>
          <t>Profile</t>
        </is>
      </c>
      <c r="P23" s="20" t="inlineStr">
        <is>
          <t>POST /api/v1/me/change-password</t>
        </is>
      </c>
      <c r="Q23" s="20" t="inlineStr">
        <is>
          <t>PROFILE-009</t>
        </is>
      </c>
      <c r="R23" s="20" t="inlineStr">
        <is>
          <t>Correct old password, new password works</t>
        </is>
      </c>
      <c r="S23" s="20" t="inlineStr">
        <is>
          <t>Registered account/authenticated bearer as specified; see request data.</t>
        </is>
      </c>
      <c r="T23" s="20" t="inlineStr">
        <is>
          <t>oldPassword=Password123!; newPassword=NewPassword123!</t>
        </is>
      </c>
      <c r="U23" s="20" t="inlineStr">
        <is>
          <t>1. Set precondition. 2. Send POST /api/v1/me/change-password. 3. Inspect response and database.</t>
        </is>
      </c>
      <c r="V23" s="20" t="n">
        <v>200</v>
      </c>
      <c r="W23" s="20" t="inlineStr">
        <is>
          <t>{message:"M???t kh???u ???? ???????c thay ?????i th??nh c??ng."}</t>
        </is>
      </c>
      <c r="X23" s="20" t="inlineStr">
        <is>
          <t>Hash changed; refresh tokens revoked; old login fails, new succeeds.</t>
        </is>
      </c>
      <c r="Y23" s="20" t="inlineStr">
        <is>
          <t>P0</t>
        </is>
      </c>
      <c r="Z23" s="20" t="inlineStr">
        <is>
          <t>Passed</t>
        </is>
      </c>
      <c r="AA23" s="20" t="inlineStr"/>
      <c r="AB23" s="20" t="inlineStr">
        <is>
          <t>test_change_password_updates_credentials_and_revokes_refresh_tokens</t>
        </is>
      </c>
    </row>
    <row r="24" ht="70" customHeight="1">
      <c r="A24" s="21" t="inlineStr">
        <is>
          <t>API-PROFILE-010</t>
        </is>
      </c>
      <c r="B24" s="21" t="inlineStr">
        <is>
          <t>POST /api/v1/me/change-password</t>
        </is>
      </c>
      <c r="C24" s="21" t="inlineStr">
        <is>
          <t>Wrong old password / same new password</t>
        </is>
      </c>
      <c r="D24" s="21" t="inlineStr">
        <is>
          <t>See explicit precondition</t>
        </is>
      </c>
      <c r="E24" s="21" t="inlineStr">
        <is>
          <t>Wrong old / new equals old</t>
        </is>
      </c>
      <c r="F24" s="21" t="inlineStr"/>
      <c r="G24" s="21" t="inlineStr">
        <is>
          <t>POST /api/v1/me/change-password: Wrong old / new equals old</t>
        </is>
      </c>
      <c r="H24" s="21" t="n">
        <v>400</v>
      </c>
      <c r="I24" s="21" t="inlineStr">
        <is>
          <t>INVALID_OLD_PASSWORD / PASSWORD_SAME_AS_OLD</t>
        </is>
      </c>
      <c r="J24" s="21" t="inlineStr">
        <is>
          <t>Hash unchanged.</t>
        </is>
      </c>
      <c r="K24" s="21" t="inlineStr">
        <is>
          <t>Passed</t>
        </is>
      </c>
      <c r="L24" s="21" t="inlineStr">
        <is>
          <t>Automation</t>
        </is>
      </c>
      <c r="M24" s="21" t="inlineStr">
        <is>
          <t>Test passed in targeted API suite and full backend suite.</t>
        </is>
      </c>
      <c r="N24" s="20" t="inlineStr">
        <is>
          <t>API-PROFILE-010</t>
        </is>
      </c>
      <c r="O24" s="20" t="inlineStr">
        <is>
          <t>Profile</t>
        </is>
      </c>
      <c r="P24" s="20" t="inlineStr">
        <is>
          <t>POST /api/v1/me/change-password</t>
        </is>
      </c>
      <c r="Q24" s="20" t="inlineStr">
        <is>
          <t>PROFILE-010</t>
        </is>
      </c>
      <c r="R24" s="20" t="inlineStr">
        <is>
          <t>Wrong old password / same new password</t>
        </is>
      </c>
      <c r="S24" s="20" t="inlineStr">
        <is>
          <t>Registered account/authenticated bearer as specified; see request data.</t>
        </is>
      </c>
      <c r="T24" s="20" t="inlineStr">
        <is>
          <t>Wrong old / new equals old</t>
        </is>
      </c>
      <c r="U24" s="20" t="inlineStr">
        <is>
          <t>1. Set precondition. 2. Send POST /api/v1/me/change-password. 3. Inspect response and database.</t>
        </is>
      </c>
      <c r="V24" s="20" t="n">
        <v>400</v>
      </c>
      <c r="W24" s="20" t="inlineStr">
        <is>
          <t>INVALID_OLD_PASSWORD / PASSWORD_SAME_AS_OLD</t>
        </is>
      </c>
      <c r="X24" s="20" t="inlineStr">
        <is>
          <t>Hash unchanged.</t>
        </is>
      </c>
      <c r="Y24" s="20" t="inlineStr">
        <is>
          <t>P1</t>
        </is>
      </c>
      <c r="Z24" s="20" t="inlineStr">
        <is>
          <t>Passed</t>
        </is>
      </c>
      <c r="AA24" s="20" t="inlineStr"/>
      <c r="AB24" s="20" t="inlineStr">
        <is>
          <t>test_change_password_rejects_wrong_current_password_without_changing_login</t>
        </is>
      </c>
    </row>
    <row r="25" ht="70" customHeight="1">
      <c r="A25" s="19" t="inlineStr">
        <is>
          <t>API-PROFILE-011</t>
        </is>
      </c>
      <c r="B25" s="19" t="inlineStr">
        <is>
          <t>POST /api/v1/me/change-password</t>
        </is>
      </c>
      <c r="C25" s="19" t="inlineStr">
        <is>
          <t>Short new password / unauthenticated</t>
        </is>
      </c>
      <c r="D25" s="19" t="inlineStr">
        <is>
          <t>See explicit precondition</t>
        </is>
      </c>
      <c r="E25" s="19" t="inlineStr">
        <is>
          <t>5-char new password / no bearer</t>
        </is>
      </c>
      <c r="F25" s="19" t="inlineStr"/>
      <c r="G25" s="19" t="inlineStr">
        <is>
          <t>POST /api/v1/me/change-password: 5-char new password / no bearer</t>
        </is>
      </c>
      <c r="H25" s="19" t="inlineStr">
        <is>
          <t>422 / 401</t>
        </is>
      </c>
      <c r="I25" s="19" t="inlineStr">
        <is>
          <t>{code:"VALIDATION_ERROR",message:"Request validation failed.",traceId:string,details:{errors:[...]}} / UNAUTHORIZED</t>
        </is>
      </c>
      <c r="J25" s="19" t="inlineStr">
        <is>
          <t>Hash unchanged.</t>
        </is>
      </c>
      <c r="K25" s="19" t="inlineStr">
        <is>
          <t>Passed</t>
        </is>
      </c>
      <c r="L25" s="19" t="inlineStr">
        <is>
          <t>Automation</t>
        </is>
      </c>
      <c r="M25" s="19" t="inlineStr">
        <is>
          <t>Test passed in targeted API suite and full backend suite.</t>
        </is>
      </c>
      <c r="N25" s="20" t="inlineStr">
        <is>
          <t>API-PROFILE-011</t>
        </is>
      </c>
      <c r="O25" s="20" t="inlineStr">
        <is>
          <t>Profile</t>
        </is>
      </c>
      <c r="P25" s="20" t="inlineStr">
        <is>
          <t>POST /api/v1/me/change-password</t>
        </is>
      </c>
      <c r="Q25" s="20" t="inlineStr">
        <is>
          <t>PROFILE-011</t>
        </is>
      </c>
      <c r="R25" s="20" t="inlineStr">
        <is>
          <t>Short new password / unauthenticated</t>
        </is>
      </c>
      <c r="S25" s="20" t="inlineStr">
        <is>
          <t>Registered account/authenticated bearer as specified; see request data.</t>
        </is>
      </c>
      <c r="T25" s="20" t="inlineStr">
        <is>
          <t>5-char new password / no bearer</t>
        </is>
      </c>
      <c r="U25" s="20" t="inlineStr">
        <is>
          <t>1. Set precondition. 2. Send POST /api/v1/me/change-password. 3. Inspect response and database.</t>
        </is>
      </c>
      <c r="V25" s="20" t="inlineStr">
        <is>
          <t>422 / 401</t>
        </is>
      </c>
      <c r="W25" s="20" t="inlineStr">
        <is>
          <t>{code:"VALIDATION_ERROR",message:"Request validation failed.",traceId:string,details:{errors:[...]}} / UNAUTHORIZED</t>
        </is>
      </c>
      <c r="X25" s="20" t="inlineStr">
        <is>
          <t>Hash unchanged.</t>
        </is>
      </c>
      <c r="Y25" s="20" t="inlineStr">
        <is>
          <t>P1</t>
        </is>
      </c>
      <c r="Z25" s="20" t="inlineStr">
        <is>
          <t>Passed</t>
        </is>
      </c>
      <c r="AA25" s="20" t="inlineStr"/>
      <c r="AB25" s="20" t="inlineStr">
        <is>
          <t>test_change_password_rejects_short_new_password; test_profile_endpoints_reject_missing_or_invalid_authentication</t>
        </is>
      </c>
    </row>
    <row r="26" ht="58" customHeight="1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</row>
    <row r="27" ht="58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 ht="58" customHeight="1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</row>
    <row r="29" ht="58" customHeight="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</row>
  </sheetData>
  <autoFilter ref="A14:AB25"/>
  <mergeCells count="15">
    <mergeCell ref="B3:G3"/>
    <mergeCell ref="B2:G2"/>
    <mergeCell ref="J13:J14"/>
    <mergeCell ref="L13:L14"/>
    <mergeCell ref="M13:M14"/>
    <mergeCell ref="A13:A14"/>
    <mergeCell ref="B13:B14"/>
    <mergeCell ref="E13:E14"/>
    <mergeCell ref="D13:D14"/>
    <mergeCell ref="B1:G1"/>
    <mergeCell ref="A12:M12"/>
    <mergeCell ref="K13:K14"/>
    <mergeCell ref="F13:G13"/>
    <mergeCell ref="H13:I13"/>
    <mergeCell ref="C13:C14"/>
  </mergeCells>
  <dataValidations count="2">
    <dataValidation sqref="K15:K29" showDropDown="0" showInputMessage="0" showErrorMessage="0" allowBlank="1" type="list">
      <formula1>"Passed,Failed,Blocked,Not run,N/A"</formula1>
    </dataValidation>
    <dataValidation sqref="L15:L29" showDropDown="0" showInputMessage="0" showErrorMessage="0" allowBlank="1" type="list">
      <formula1>"Automation,Manual,N/A"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B22"/>
  <sheetViews>
    <sheetView showGridLines="1" zoomScale="85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28" customWidth="1" min="4" max="4"/>
    <col width="24" customWidth="1" min="5" max="5"/>
    <col width="20" customWidth="1" min="6" max="6"/>
    <col width="30" customWidth="1" min="7" max="7"/>
    <col width="20" customWidth="1" min="8" max="8"/>
    <col width="38" customWidth="1" min="9" max="9"/>
    <col width="34" customWidth="1" min="10" max="10"/>
    <col width="13" customWidth="1" min="11" max="11"/>
    <col width="14" customWidth="1" min="12" max="12"/>
    <col width="30" customWidth="1" min="13" max="13"/>
    <col width="16" customWidth="1" min="14" max="14"/>
    <col width="13" customWidth="1" min="15" max="15"/>
    <col width="36" customWidth="1" min="16" max="16"/>
    <col width="17" customWidth="1" min="17" max="17"/>
    <col width="32" customWidth="1" min="18" max="18"/>
    <col width="33" customWidth="1" min="19" max="19"/>
    <col width="38" customWidth="1" min="20" max="20"/>
    <col width="42" customWidth="1" min="21" max="21"/>
    <col width="18" customWidth="1" min="22" max="22"/>
    <col width="45" customWidth="1" min="23" max="23"/>
    <col width="42" customWidth="1" min="24" max="24"/>
    <col width="12" customWidth="1" min="25" max="25"/>
    <col width="16" customWidth="1" min="26" max="26"/>
    <col width="18" customWidth="1" min="27" max="27"/>
    <col width="43" customWidth="1" min="28" max="28"/>
  </cols>
  <sheetData>
    <row r="1">
      <c r="A1" s="7" t="inlineStr">
        <is>
          <t>Project Name</t>
        </is>
      </c>
      <c r="B1" s="8" t="inlineStr">
        <is>
          <t>TalkWithMe</t>
        </is>
      </c>
      <c r="C1" s="9" t="n"/>
      <c r="D1" s="9" t="n"/>
      <c r="E1" s="9" t="n"/>
      <c r="F1" s="9" t="n"/>
      <c r="G1" s="10" t="n"/>
    </row>
    <row r="2">
      <c r="A2" s="7" t="inlineStr">
        <is>
          <t>API Name</t>
        </is>
      </c>
      <c r="B2" s="8" t="inlineStr">
        <is>
          <t>API005 Settings</t>
        </is>
      </c>
      <c r="C2" s="9" t="n"/>
      <c r="D2" s="9" t="n"/>
      <c r="E2" s="9" t="n"/>
      <c r="F2" s="9" t="n"/>
      <c r="G2" s="10" t="n"/>
    </row>
    <row r="3">
      <c r="A3" s="7" t="inlineStr">
        <is>
          <t>Owner</t>
        </is>
      </c>
      <c r="B3" s="8" t="inlineStr">
        <is>
          <t>QA / Backend Team</t>
        </is>
      </c>
      <c r="C3" s="9" t="n"/>
      <c r="D3" s="9" t="n"/>
      <c r="E3" s="9" t="n"/>
      <c r="F3" s="9" t="n"/>
      <c r="G3" s="10" t="n"/>
    </row>
    <row r="5">
      <c r="A5" s="11" t="inlineStr">
        <is>
          <t>PASSED</t>
        </is>
      </c>
      <c r="B5" s="8">
        <f>COUNTIF(Z15:Z22,"Passed")</f>
        <v/>
      </c>
    </row>
    <row r="6">
      <c r="A6" s="11" t="inlineStr">
        <is>
          <t>FAILED</t>
        </is>
      </c>
      <c r="B6" s="8">
        <f>COUNTIF(Z15:Z22,"Failed")</f>
        <v/>
      </c>
    </row>
    <row r="7">
      <c r="A7" s="11" t="inlineStr">
        <is>
          <t>PENDING</t>
        </is>
      </c>
      <c r="B7" s="8">
        <f>COUNTIF(Z15:Z22,"Blocked")</f>
        <v/>
      </c>
    </row>
    <row r="8">
      <c r="A8" s="11" t="inlineStr">
        <is>
          <t>NOT RUN</t>
        </is>
      </c>
      <c r="B8" s="8">
        <f>COUNTIF(Z15:Z22,"Not Run")</f>
        <v/>
      </c>
    </row>
    <row r="9">
      <c r="A9" s="11" t="inlineStr">
        <is>
          <t>AUTOMATION</t>
        </is>
      </c>
      <c r="B9" s="8">
        <f>COUNTIF(L15:L22,"Automation")</f>
        <v/>
      </c>
    </row>
    <row r="10">
      <c r="A10" s="11" t="inlineStr">
        <is>
          <t>MANUAL</t>
        </is>
      </c>
      <c r="B10" s="8">
        <f>COUNTIF(L15:L22,"Manual")</f>
        <v/>
      </c>
    </row>
    <row r="11">
      <c r="A11" s="12" t="inlineStr">
        <is>
          <t>Number of Testcase</t>
        </is>
      </c>
      <c r="B11" s="13">
        <f>COUNTA(A15:A22)</f>
        <v/>
      </c>
    </row>
    <row r="12">
      <c r="A12" s="14" t="inlineStr">
        <is>
          <t>Validate / Functional / Security</t>
        </is>
      </c>
    </row>
    <row r="13" ht="30" customHeight="1">
      <c r="A13" s="2" t="inlineStr">
        <is>
          <t>ID</t>
        </is>
      </c>
      <c r="B13" s="2" t="inlineStr">
        <is>
          <t>Item</t>
        </is>
      </c>
      <c r="C13" s="2" t="inlineStr">
        <is>
          <t>Testcase Name</t>
        </is>
      </c>
      <c r="D13" s="2" t="inlineStr">
        <is>
          <t>Precondition Test Case</t>
        </is>
      </c>
      <c r="E13" s="2" t="inlineStr">
        <is>
          <t>Test data</t>
        </is>
      </c>
      <c r="F13" s="2" t="inlineStr">
        <is>
          <t>Request</t>
        </is>
      </c>
      <c r="G13" s="10" t="n"/>
      <c r="H13" s="2" t="inlineStr">
        <is>
          <t>Expected Response</t>
        </is>
      </c>
      <c r="I13" s="10" t="n"/>
      <c r="J13" s="2" t="inlineStr">
        <is>
          <t>Expected Database</t>
        </is>
      </c>
      <c r="K13" s="2" t="inlineStr">
        <is>
          <t>Result</t>
        </is>
      </c>
      <c r="L13" s="2" t="inlineStr">
        <is>
          <t>Execution</t>
        </is>
      </c>
      <c r="M13" s="2" t="inlineStr">
        <is>
          <t>Note</t>
        </is>
      </c>
    </row>
    <row r="14" ht="28" customHeight="1">
      <c r="A14" s="17" t="n"/>
      <c r="B14" s="17" t="n"/>
      <c r="C14" s="17" t="n"/>
      <c r="D14" s="17" t="n"/>
      <c r="E14" s="17" t="n"/>
      <c r="F14" s="2" t="inlineStr">
        <is>
          <t>params</t>
        </is>
      </c>
      <c r="G14" s="2" t="inlineStr">
        <is>
          <t>body</t>
        </is>
      </c>
      <c r="H14" s="2" t="inlineStr">
        <is>
          <t>Status code</t>
        </is>
      </c>
      <c r="I14" s="2" t="inlineStr">
        <is>
          <t>Body</t>
        </is>
      </c>
      <c r="J14" s="17" t="n"/>
      <c r="K14" s="17" t="n"/>
      <c r="L14" s="17" t="n"/>
      <c r="M14" s="17" t="n"/>
      <c r="N14" s="18" t="inlineStr">
        <is>
          <t>Case ID</t>
        </is>
      </c>
      <c r="O14" s="18" t="inlineStr">
        <is>
          <t>Module</t>
        </is>
      </c>
      <c r="P14" s="18" t="inlineStr">
        <is>
          <t>Method/Path</t>
        </is>
      </c>
      <c r="Q14" s="18" t="inlineStr">
        <is>
          <t>Viewpoint ID</t>
        </is>
      </c>
      <c r="R14" s="18" t="inlineStr">
        <is>
          <t>Testcase Name</t>
        </is>
      </c>
      <c r="S14" s="18" t="inlineStr">
        <is>
          <t>Precondition</t>
        </is>
      </c>
      <c r="T14" s="18" t="inlineStr">
        <is>
          <t>Request/Test Data</t>
        </is>
      </c>
      <c r="U14" s="18" t="inlineStr">
        <is>
          <t>Steps</t>
        </is>
      </c>
      <c r="V14" s="18" t="inlineStr">
        <is>
          <t>Expected HTTP Status</t>
        </is>
      </c>
      <c r="W14" s="18" t="inlineStr">
        <is>
          <t>Expected Response Body</t>
        </is>
      </c>
      <c r="X14" s="18" t="inlineStr">
        <is>
          <t>Expected Database</t>
        </is>
      </c>
      <c r="Y14" s="18" t="inlineStr">
        <is>
          <t>Priority</t>
        </is>
      </c>
      <c r="Z14" s="18" t="inlineStr">
        <is>
          <t>Execution Result</t>
        </is>
      </c>
      <c r="AA14" s="18" t="inlineStr">
        <is>
          <t>Defect Link</t>
        </is>
      </c>
      <c r="AB14" s="18" t="inlineStr">
        <is>
          <t>Automation Test / Manual Reason</t>
        </is>
      </c>
    </row>
    <row r="15" ht="70" customHeight="1">
      <c r="A15" s="19" t="inlineStr">
        <is>
          <t>API-SETTINGS-001</t>
        </is>
      </c>
      <c r="B15" s="19" t="inlineStr">
        <is>
          <t>GET /api/v1/me/settings</t>
        </is>
      </c>
      <c r="C15" s="19" t="inlineStr">
        <is>
          <t>Get defaults</t>
        </is>
      </c>
      <c r="D15" s="19" t="inlineStr">
        <is>
          <t>See explicit precondition</t>
        </is>
      </c>
      <c r="E15" s="19" t="inlineStr">
        <is>
          <t>Registered user bearer</t>
        </is>
      </c>
      <c r="F15" s="19" t="inlineStr"/>
      <c r="G15" s="19" t="inlineStr">
        <is>
          <t>GET /api/v1/me/settings: Registered user bearer</t>
        </is>
      </c>
      <c r="H15" s="19" t="n">
        <v>200</v>
      </c>
      <c r="I15" s="19" t="inlineStr">
        <is>
          <t>{notificationsEnabled:true,dailyReminderEnabled:true,aiVoice:"female",speechSpeed:"normal",theme:"system",timezone:"Asia/Ho_Chi_Minh"}</t>
        </is>
      </c>
      <c r="J15" s="19" t="inlineStr">
        <is>
          <t>No change.</t>
        </is>
      </c>
      <c r="K15" s="19" t="inlineStr">
        <is>
          <t>Passed</t>
        </is>
      </c>
      <c r="L15" s="19" t="inlineStr">
        <is>
          <t>Automation</t>
        </is>
      </c>
      <c r="M15" s="19" t="inlineStr">
        <is>
          <t>Test passed in targeted API suite and full backend suite.</t>
        </is>
      </c>
      <c r="N15" s="20" t="inlineStr">
        <is>
          <t>API-SETTINGS-001</t>
        </is>
      </c>
      <c r="O15" s="20" t="inlineStr">
        <is>
          <t>Settings</t>
        </is>
      </c>
      <c r="P15" s="20" t="inlineStr">
        <is>
          <t>GET /api/v1/me/settings</t>
        </is>
      </c>
      <c r="Q15" s="20" t="inlineStr">
        <is>
          <t>SETTINGS-001</t>
        </is>
      </c>
      <c r="R15" s="20" t="inlineStr">
        <is>
          <t>Get defaults</t>
        </is>
      </c>
      <c r="S15" s="20" t="inlineStr">
        <is>
          <t>Registered account/authenticated bearer as specified; see request data.</t>
        </is>
      </c>
      <c r="T15" s="20" t="inlineStr">
        <is>
          <t>Registered user bearer</t>
        </is>
      </c>
      <c r="U15" s="20" t="inlineStr">
        <is>
          <t>1. Set precondition. 2. Send GET /api/v1/me/settings. 3. Inspect response and database.</t>
        </is>
      </c>
      <c r="V15" s="20" t="n">
        <v>200</v>
      </c>
      <c r="W15" s="20" t="inlineStr">
        <is>
          <t>{notificationsEnabled:true,dailyReminderEnabled:true,aiVoice:"female",speechSpeed:"normal",theme:"system",timezone:"Asia/Ho_Chi_Minh"}</t>
        </is>
      </c>
      <c r="X15" s="20" t="inlineStr">
        <is>
          <t>No change.</t>
        </is>
      </c>
      <c r="Y15" s="20" t="inlineStr">
        <is>
          <t>P0</t>
        </is>
      </c>
      <c r="Z15" s="20" t="inlineStr">
        <is>
          <t>Passed</t>
        </is>
      </c>
      <c r="AA15" s="20" t="inlineStr"/>
      <c r="AB15" s="20" t="inlineStr">
        <is>
          <t>test_get_settings_returns_authenticated_users_defaults</t>
        </is>
      </c>
    </row>
    <row r="16" ht="70" customHeight="1">
      <c r="A16" s="21" t="inlineStr">
        <is>
          <t>API-SETTINGS-002</t>
        </is>
      </c>
      <c r="B16" s="21" t="inlineStr">
        <is>
          <t>GET /api/v1/me/settings</t>
        </is>
      </c>
      <c r="C16" s="21" t="inlineStr">
        <is>
          <t>Unauthenticated</t>
        </is>
      </c>
      <c r="D16" s="21" t="inlineStr">
        <is>
          <t>See explicit precondition</t>
        </is>
      </c>
      <c r="E16" s="21" t="inlineStr">
        <is>
          <t>No bearer</t>
        </is>
      </c>
      <c r="F16" s="21" t="inlineStr"/>
      <c r="G16" s="21" t="inlineStr">
        <is>
          <t>GET /api/v1/me/settings: No bearer</t>
        </is>
      </c>
      <c r="H16" s="21" t="n">
        <v>401</v>
      </c>
      <c r="I16" s="21" t="inlineStr">
        <is>
          <t>{code:"UNAUTHORIZED",...}</t>
        </is>
      </c>
      <c r="J16" s="21" t="inlineStr">
        <is>
          <t>No change.</t>
        </is>
      </c>
      <c r="K16" s="21" t="inlineStr">
        <is>
          <t>Passed</t>
        </is>
      </c>
      <c r="L16" s="21" t="inlineStr">
        <is>
          <t>Automation</t>
        </is>
      </c>
      <c r="M16" s="21" t="inlineStr">
        <is>
          <t>Test passed in targeted API suite and full backend suite.</t>
        </is>
      </c>
      <c r="N16" s="20" t="inlineStr">
        <is>
          <t>API-SETTINGS-002</t>
        </is>
      </c>
      <c r="O16" s="20" t="inlineStr">
        <is>
          <t>Settings</t>
        </is>
      </c>
      <c r="P16" s="20" t="inlineStr">
        <is>
          <t>GET /api/v1/me/settings</t>
        </is>
      </c>
      <c r="Q16" s="20" t="inlineStr">
        <is>
          <t>SETTINGS-002</t>
        </is>
      </c>
      <c r="R16" s="20" t="inlineStr">
        <is>
          <t>Unauthenticated</t>
        </is>
      </c>
      <c r="S16" s="20" t="inlineStr">
        <is>
          <t>Registered account/authenticated bearer as specified; see request data.</t>
        </is>
      </c>
      <c r="T16" s="20" t="inlineStr">
        <is>
          <t>No bearer</t>
        </is>
      </c>
      <c r="U16" s="20" t="inlineStr">
        <is>
          <t>1. Set precondition. 2. Send GET /api/v1/me/settings. 3. Inspect response and database.</t>
        </is>
      </c>
      <c r="V16" s="20" t="n">
        <v>401</v>
      </c>
      <c r="W16" s="20" t="inlineStr">
        <is>
          <t>{code:"UNAUTHORIZED",...}</t>
        </is>
      </c>
      <c r="X16" s="20" t="inlineStr">
        <is>
          <t>No change.</t>
        </is>
      </c>
      <c r="Y16" s="20" t="inlineStr">
        <is>
          <t>P1</t>
        </is>
      </c>
      <c r="Z16" s="20" t="inlineStr">
        <is>
          <t>Passed</t>
        </is>
      </c>
      <c r="AA16" s="20" t="inlineStr"/>
      <c r="AB16" s="20" t="inlineStr">
        <is>
          <t>test_get_and_patch_settings_reject_missing_authentication</t>
        </is>
      </c>
    </row>
    <row r="17" ht="70" customHeight="1">
      <c r="A17" s="19" t="inlineStr">
        <is>
          <t>API-SETTINGS-003</t>
        </is>
      </c>
      <c r="B17" s="19" t="inlineStr">
        <is>
          <t>PATCH /api/v1/me/settings</t>
        </is>
      </c>
      <c r="C17" s="19" t="inlineStr">
        <is>
          <t>Update every supported field</t>
        </is>
      </c>
      <c r="D17" s="19" t="inlineStr">
        <is>
          <t>See explicit precondition</t>
        </is>
      </c>
      <c r="E17" s="19" t="inlineStr">
        <is>
          <t>notificationsEnabled=false; dailyReminderEnabled=false; aiVoice=male; speechSpeed=fast; theme=dark</t>
        </is>
      </c>
      <c r="F17" s="19" t="inlineStr"/>
      <c r="G17" s="19" t="inlineStr">
        <is>
          <t>PATCH /api/v1/me/settings: notificationsEnabled=false; dailyReminderEnabled=false; aiVoice=male; speechSpeed=fast; theme=dark</t>
        </is>
      </c>
      <c r="H17" s="19" t="n">
        <v>200</v>
      </c>
      <c r="I17" s="19" t="inlineStr">
        <is>
          <t>SettingsResponse has submitted values; timezone remains Asia/Ho_Chi_Minh.</t>
        </is>
      </c>
      <c r="J17" s="19" t="inlineStr">
        <is>
          <t>Only current user settings row updated.</t>
        </is>
      </c>
      <c r="K17" s="19" t="inlineStr">
        <is>
          <t>Passed</t>
        </is>
      </c>
      <c r="L17" s="19" t="inlineStr">
        <is>
          <t>Automation</t>
        </is>
      </c>
      <c r="M17" s="19" t="inlineStr">
        <is>
          <t>Test passed in targeted API suite and full backend suite.</t>
        </is>
      </c>
      <c r="N17" s="20" t="inlineStr">
        <is>
          <t>API-SETTINGS-003</t>
        </is>
      </c>
      <c r="O17" s="20" t="inlineStr">
        <is>
          <t>Settings</t>
        </is>
      </c>
      <c r="P17" s="20" t="inlineStr">
        <is>
          <t>PATCH /api/v1/me/settings</t>
        </is>
      </c>
      <c r="Q17" s="20" t="inlineStr">
        <is>
          <t>SETTINGS-003</t>
        </is>
      </c>
      <c r="R17" s="20" t="inlineStr">
        <is>
          <t>Update every supported field</t>
        </is>
      </c>
      <c r="S17" s="20" t="inlineStr">
        <is>
          <t>Registered account/authenticated bearer as specified; see request data.</t>
        </is>
      </c>
      <c r="T17" s="20" t="inlineStr">
        <is>
          <t>notificationsEnabled=false; dailyReminderEnabled=false; aiVoice=male; speechSpeed=fast; theme=dark</t>
        </is>
      </c>
      <c r="U17" s="20" t="inlineStr">
        <is>
          <t>1. Set precondition. 2. Send PATCH /api/v1/me/settings. 3. Inspect response and database.</t>
        </is>
      </c>
      <c r="V17" s="20" t="n">
        <v>200</v>
      </c>
      <c r="W17" s="20" t="inlineStr">
        <is>
          <t>SettingsResponse has submitted values; timezone remains Asia/Ho_Chi_Minh.</t>
        </is>
      </c>
      <c r="X17" s="20" t="inlineStr">
        <is>
          <t>Only current user settings row updated.</t>
        </is>
      </c>
      <c r="Y17" s="20" t="inlineStr">
        <is>
          <t>P0</t>
        </is>
      </c>
      <c r="Z17" s="20" t="inlineStr">
        <is>
          <t>Passed</t>
        </is>
      </c>
      <c r="AA17" s="20" t="inlineStr"/>
      <c r="AB17" s="20" t="inlineStr">
        <is>
          <t>test_patch_multiple_settings_persists_all_supported_values</t>
        </is>
      </c>
    </row>
    <row r="18" ht="70" customHeight="1">
      <c r="A18" s="21" t="inlineStr">
        <is>
          <t>API-SETTINGS-004</t>
        </is>
      </c>
      <c r="B18" s="21" t="inlineStr">
        <is>
          <t>PATCH /api/v1/me/settings</t>
        </is>
      </c>
      <c r="C18" s="21" t="inlineStr">
        <is>
          <t>Single-field patch preserves other settings</t>
        </is>
      </c>
      <c r="D18" s="21" t="inlineStr">
        <is>
          <t>See explicit precondition</t>
        </is>
      </c>
      <c r="E18" s="21" t="inlineStr">
        <is>
          <t>{aiVoice:"male"}</t>
        </is>
      </c>
      <c r="F18" s="21" t="inlineStr"/>
      <c r="G18" s="21" t="inlineStr">
        <is>
          <t>PATCH /api/v1/me/settings: {aiVoice:"male"}</t>
        </is>
      </c>
      <c r="H18" s="21" t="n">
        <v>200</v>
      </c>
      <c r="I18" s="21" t="inlineStr">
        <is>
          <t>aiVoice=male; omitted fields retain prior values</t>
        </is>
      </c>
      <c r="J18" s="21" t="inlineStr">
        <is>
          <t>Only ai_voice changed.</t>
        </is>
      </c>
      <c r="K18" s="21" t="inlineStr">
        <is>
          <t>Passed</t>
        </is>
      </c>
      <c r="L18" s="21" t="inlineStr">
        <is>
          <t>Automation</t>
        </is>
      </c>
      <c r="M18" s="21" t="inlineStr">
        <is>
          <t>Test passed in targeted API suite and full backend suite.</t>
        </is>
      </c>
      <c r="N18" s="20" t="inlineStr">
        <is>
          <t>API-SETTINGS-004</t>
        </is>
      </c>
      <c r="O18" s="20" t="inlineStr">
        <is>
          <t>Settings</t>
        </is>
      </c>
      <c r="P18" s="20" t="inlineStr">
        <is>
          <t>PATCH /api/v1/me/settings</t>
        </is>
      </c>
      <c r="Q18" s="20" t="inlineStr">
        <is>
          <t>SETTINGS-004</t>
        </is>
      </c>
      <c r="R18" s="20" t="inlineStr">
        <is>
          <t>Single-field patch preserves other settings</t>
        </is>
      </c>
      <c r="S18" s="20" t="inlineStr">
        <is>
          <t>Registered account/authenticated bearer as specified; see request data.</t>
        </is>
      </c>
      <c r="T18" s="20" t="inlineStr">
        <is>
          <t>{aiVoice:"male"}</t>
        </is>
      </c>
      <c r="U18" s="20" t="inlineStr">
        <is>
          <t>1. Set precondition. 2. Send PATCH /api/v1/me/settings. 3. Inspect response and database.</t>
        </is>
      </c>
      <c r="V18" s="20" t="n">
        <v>200</v>
      </c>
      <c r="W18" s="20" t="inlineStr">
        <is>
          <t>aiVoice=male; omitted fields retain prior values</t>
        </is>
      </c>
      <c r="X18" s="20" t="inlineStr">
        <is>
          <t>Only ai_voice changed.</t>
        </is>
      </c>
      <c r="Y18" s="20" t="inlineStr">
        <is>
          <t>P1</t>
        </is>
      </c>
      <c r="Z18" s="20" t="inlineStr">
        <is>
          <t>Passed</t>
        </is>
      </c>
      <c r="AA18" s="20" t="inlineStr"/>
      <c r="AB18" s="20" t="inlineStr">
        <is>
          <t>test_patch_one_setting_preserves_unsubmitted_fields_and_persists</t>
        </is>
      </c>
    </row>
    <row r="19" ht="70" customHeight="1">
      <c r="A19" s="19" t="inlineStr">
        <is>
          <t>API-SETTINGS-005</t>
        </is>
      </c>
      <c r="B19" s="19" t="inlineStr">
        <is>
          <t>PATCH /api/v1/me/settings</t>
        </is>
      </c>
      <c r="C19" s="19" t="inlineStr">
        <is>
          <t>Invalid enum/type</t>
        </is>
      </c>
      <c r="D19" s="19" t="inlineStr">
        <is>
          <t>See explicit precondition</t>
        </is>
      </c>
      <c r="E19" s="19" t="inlineStr">
        <is>
          <t>aiVoice=robot; speechSpeed=very-fast; notificationsEnabled="false"</t>
        </is>
      </c>
      <c r="F19" s="19" t="inlineStr"/>
      <c r="G19" s="19" t="inlineStr">
        <is>
          <t>PATCH /api/v1/me/settings: aiVoice=robot; speechSpeed=very-fast; notificationsEnabled="false"</t>
        </is>
      </c>
      <c r="H19" s="19" t="n">
        <v>422</v>
      </c>
      <c r="I19" s="19" t="inlineStr">
        <is>
          <t>{code:"VALIDATION_ERROR",message:"Request validation failed.",traceId:string,details:{errors:[...]}}</t>
        </is>
      </c>
      <c r="J19" s="19" t="inlineStr">
        <is>
          <t>Settings unchanged.</t>
        </is>
      </c>
      <c r="K19" s="19" t="inlineStr">
        <is>
          <t>Passed</t>
        </is>
      </c>
      <c r="L19" s="19" t="inlineStr">
        <is>
          <t>Automation</t>
        </is>
      </c>
      <c r="M19" s="19" t="inlineStr">
        <is>
          <t>Test passed in targeted API suite and full backend suite.</t>
        </is>
      </c>
      <c r="N19" s="20" t="inlineStr">
        <is>
          <t>API-SETTINGS-005</t>
        </is>
      </c>
      <c r="O19" s="20" t="inlineStr">
        <is>
          <t>Settings</t>
        </is>
      </c>
      <c r="P19" s="20" t="inlineStr">
        <is>
          <t>PATCH /api/v1/me/settings</t>
        </is>
      </c>
      <c r="Q19" s="20" t="inlineStr">
        <is>
          <t>SETTINGS-005</t>
        </is>
      </c>
      <c r="R19" s="20" t="inlineStr">
        <is>
          <t>Invalid enum/type</t>
        </is>
      </c>
      <c r="S19" s="20" t="inlineStr">
        <is>
          <t>Registered account/authenticated bearer as specified; see request data.</t>
        </is>
      </c>
      <c r="T19" s="20" t="inlineStr">
        <is>
          <t>aiVoice=robot; speechSpeed=very-fast; notificationsEnabled="false"</t>
        </is>
      </c>
      <c r="U19" s="20" t="inlineStr">
        <is>
          <t>1. Set precondition. 2. Send PATCH /api/v1/me/settings. 3. Inspect response and database.</t>
        </is>
      </c>
      <c r="V19" s="20" t="n">
        <v>422</v>
      </c>
      <c r="W19" s="20" t="inlineStr">
        <is>
          <t>{code:"VALIDATION_ERROR",message:"Request validation failed.",traceId:string,details:{errors:[...]}}</t>
        </is>
      </c>
      <c r="X19" s="20" t="inlineStr">
        <is>
          <t>Settings unchanged.</t>
        </is>
      </c>
      <c r="Y19" s="20" t="inlineStr">
        <is>
          <t>P1</t>
        </is>
      </c>
      <c r="Z19" s="20" t="inlineStr">
        <is>
          <t>Passed</t>
        </is>
      </c>
      <c r="AA19" s="20" t="inlineStr"/>
      <c r="AB19" s="20" t="inlineStr">
        <is>
          <t>test_patch_rejects_invalid_enum_or_type_without_mutation</t>
        </is>
      </c>
    </row>
    <row r="20" ht="70" customHeight="1">
      <c r="A20" s="21" t="inlineStr">
        <is>
          <t>API-SETTINGS-006</t>
        </is>
      </c>
      <c r="B20" s="21" t="inlineStr">
        <is>
          <t>PATCH /api/v1/me/settings</t>
        </is>
      </c>
      <c r="C20" s="21" t="inlineStr">
        <is>
          <t>Empty patch and unsupported key</t>
        </is>
      </c>
      <c r="D20" s="21" t="inlineStr">
        <is>
          <t>See explicit precondition</t>
        </is>
      </c>
      <c r="E20" s="21" t="inlineStr">
        <is>
          <t>{}; {unsupportedField:"x",aiVoice:"male"}</t>
        </is>
      </c>
      <c r="F20" s="21" t="inlineStr"/>
      <c r="G20" s="21" t="inlineStr">
        <is>
          <t>PATCH /api/v1/me/settings: {}; {unsupportedField:"x",aiVoice:"male"}</t>
        </is>
      </c>
      <c r="H20" s="21" t="n">
        <v>200</v>
      </c>
      <c r="I20" s="21" t="inlineStr">
        <is>
          <t>Current SettingsResponse; extra field ignored</t>
        </is>
      </c>
      <c r="J20" s="21" t="inlineStr">
        <is>
          <t>No unsupported column; supported sent field updated.</t>
        </is>
      </c>
      <c r="K20" s="21" t="inlineStr">
        <is>
          <t>Passed</t>
        </is>
      </c>
      <c r="L20" s="21" t="inlineStr">
        <is>
          <t>Automation</t>
        </is>
      </c>
      <c r="M20" s="21" t="inlineStr">
        <is>
          <t>Test passed in targeted API suite and full backend suite.</t>
        </is>
      </c>
      <c r="N20" s="20" t="inlineStr">
        <is>
          <t>API-SETTINGS-006</t>
        </is>
      </c>
      <c r="O20" s="20" t="inlineStr">
        <is>
          <t>Settings</t>
        </is>
      </c>
      <c r="P20" s="20" t="inlineStr">
        <is>
          <t>PATCH /api/v1/me/settings</t>
        </is>
      </c>
      <c r="Q20" s="20" t="inlineStr">
        <is>
          <t>SETTINGS-006</t>
        </is>
      </c>
      <c r="R20" s="20" t="inlineStr">
        <is>
          <t>Empty patch and unsupported key</t>
        </is>
      </c>
      <c r="S20" s="20" t="inlineStr">
        <is>
          <t>Registered account/authenticated bearer as specified; see request data.</t>
        </is>
      </c>
      <c r="T20" s="20" t="inlineStr">
        <is>
          <t>{}; {unsupportedField:"x",aiVoice:"male"}</t>
        </is>
      </c>
      <c r="U20" s="20" t="inlineStr">
        <is>
          <t>1. Set precondition. 2. Send PATCH /api/v1/me/settings. 3. Inspect response and database.</t>
        </is>
      </c>
      <c r="V20" s="20" t="n">
        <v>200</v>
      </c>
      <c r="W20" s="20" t="inlineStr">
        <is>
          <t>Current SettingsResponse; extra field ignored</t>
        </is>
      </c>
      <c r="X20" s="20" t="inlineStr">
        <is>
          <t>No unsupported column; supported sent field updated.</t>
        </is>
      </c>
      <c r="Y20" s="20" t="inlineStr">
        <is>
          <t>P1</t>
        </is>
      </c>
      <c r="Z20" s="20" t="inlineStr">
        <is>
          <t>Passed</t>
        </is>
      </c>
      <c r="AA20" s="20" t="inlineStr"/>
      <c r="AB20" s="20" t="inlineStr">
        <is>
          <t>test_empty_and_null_patch_preserve_current_settings; test_unknown_setting_field_is_ignored_by_current_schema</t>
        </is>
      </c>
    </row>
    <row r="21" ht="70" customHeight="1">
      <c r="A21" s="19" t="inlineStr">
        <is>
          <t>API-SETTINGS-007</t>
        </is>
      </c>
      <c r="B21" s="19" t="inlineStr">
        <is>
          <t>PATCH /api/v1/me/settings</t>
        </is>
      </c>
      <c r="C21" s="19" t="inlineStr">
        <is>
          <t>Timezone update behavior</t>
        </is>
      </c>
      <c r="D21" s="19" t="inlineStr">
        <is>
          <t>See explicit precondition</t>
        </is>
      </c>
      <c r="E21" s="19" t="inlineStr">
        <is>
          <t>{timezone:"America/New_York"}</t>
        </is>
      </c>
      <c r="F21" s="19" t="inlineStr"/>
      <c r="G21" s="19" t="inlineStr">
        <is>
          <t>PATCH /api/v1/me/settings: {timezone:"America/New_York"}</t>
        </is>
      </c>
      <c r="H21" s="19" t="n">
        <v>200</v>
      </c>
      <c r="I21" s="19" t="inlineStr">
        <is>
          <t>SettingsResponse timezone remains hardcoded Asia/Ho_Chi_Minh</t>
        </is>
      </c>
      <c r="J21" s="19" t="inlineStr">
        <is>
          <t>Current implementation does not persist timezone; document as observed gap.</t>
        </is>
      </c>
      <c r="K21" s="19" t="inlineStr">
        <is>
          <t>Passed</t>
        </is>
      </c>
      <c r="L21" s="19" t="inlineStr">
        <is>
          <t>Automation</t>
        </is>
      </c>
      <c r="M21" s="19" t="inlineStr">
        <is>
          <t>Test passed in targeted API suite and full backend suite.</t>
        </is>
      </c>
      <c r="N21" s="20" t="inlineStr">
        <is>
          <t>API-SETTINGS-007</t>
        </is>
      </c>
      <c r="O21" s="20" t="inlineStr">
        <is>
          <t>Settings</t>
        </is>
      </c>
      <c r="P21" s="20" t="inlineStr">
        <is>
          <t>PATCH /api/v1/me/settings</t>
        </is>
      </c>
      <c r="Q21" s="20" t="inlineStr">
        <is>
          <t>SETTINGS-007</t>
        </is>
      </c>
      <c r="R21" s="20" t="inlineStr">
        <is>
          <t>Timezone update behavior</t>
        </is>
      </c>
      <c r="S21" s="20" t="inlineStr">
        <is>
          <t>Registered account/authenticated bearer as specified; see request data.</t>
        </is>
      </c>
      <c r="T21" s="20" t="inlineStr">
        <is>
          <t>{timezone:"America/New_York"}</t>
        </is>
      </c>
      <c r="U21" s="20" t="inlineStr">
        <is>
          <t>1. Set precondition. 2. Send PATCH /api/v1/me/settings. 3. Inspect response and database.</t>
        </is>
      </c>
      <c r="V21" s="20" t="n">
        <v>200</v>
      </c>
      <c r="W21" s="20" t="inlineStr">
        <is>
          <t>SettingsResponse timezone remains hardcoded Asia/Ho_Chi_Minh</t>
        </is>
      </c>
      <c r="X21" s="20" t="inlineStr">
        <is>
          <t>Current implementation does not persist timezone; document as observed gap.</t>
        </is>
      </c>
      <c r="Y21" s="20" t="inlineStr">
        <is>
          <t>P1</t>
        </is>
      </c>
      <c r="Z21" s="20" t="inlineStr">
        <is>
          <t>Passed</t>
        </is>
      </c>
      <c r="AA21" s="20" t="inlineStr"/>
      <c r="AB21" s="20" t="inlineStr">
        <is>
          <t>test_timezone_is_returned_as_fixed_value_by_current_implementation; test_timezone_patch_schema_field_fails_against_settings_model</t>
        </is>
      </c>
    </row>
    <row r="22" ht="70" customHeight="1">
      <c r="A22" s="21" t="inlineStr">
        <is>
          <t>API-SETTINGS-008</t>
        </is>
      </c>
      <c r="B22" s="21" t="inlineStr">
        <is>
          <t>PATCH /api/v1/me/settings</t>
        </is>
      </c>
      <c r="C22" s="21" t="inlineStr">
        <is>
          <t>User A cannot mutate user B settings</t>
        </is>
      </c>
      <c r="D22" s="21" t="inlineStr">
        <is>
          <t>See explicit precondition</t>
        </is>
      </c>
      <c r="E22" s="21" t="inlineStr">
        <is>
          <t>A patches aiVoice=male; B then GETs settings</t>
        </is>
      </c>
      <c r="F22" s="21" t="inlineStr"/>
      <c r="G22" s="21" t="inlineStr">
        <is>
          <t>PATCH /api/v1/me/settings: A patches aiVoice=male; B then GETs settings</t>
        </is>
      </c>
      <c r="H22" s="21" t="n">
        <v>200</v>
      </c>
      <c r="I22" s="21" t="inlineStr">
        <is>
          <t>A sees male; B remains female</t>
        </is>
      </c>
      <c r="J22" s="21" t="inlineStr">
        <is>
          <t>Only A row changes.</t>
        </is>
      </c>
      <c r="K22" s="21" t="inlineStr">
        <is>
          <t>Passed</t>
        </is>
      </c>
      <c r="L22" s="21" t="inlineStr">
        <is>
          <t>Automation</t>
        </is>
      </c>
      <c r="M22" s="21" t="inlineStr">
        <is>
          <t>Test passed in targeted API suite and full backend suite.</t>
        </is>
      </c>
      <c r="N22" s="20" t="inlineStr">
        <is>
          <t>API-SETTINGS-008</t>
        </is>
      </c>
      <c r="O22" s="20" t="inlineStr">
        <is>
          <t>Settings</t>
        </is>
      </c>
      <c r="P22" s="20" t="inlineStr">
        <is>
          <t>PATCH /api/v1/me/settings</t>
        </is>
      </c>
      <c r="Q22" s="20" t="inlineStr">
        <is>
          <t>SETTINGS-008</t>
        </is>
      </c>
      <c r="R22" s="20" t="inlineStr">
        <is>
          <t>User A cannot mutate user B settings</t>
        </is>
      </c>
      <c r="S22" s="20" t="inlineStr">
        <is>
          <t>Registered account/authenticated bearer as specified; see request data.</t>
        </is>
      </c>
      <c r="T22" s="20" t="inlineStr">
        <is>
          <t>A patches aiVoice=male; B then GETs settings</t>
        </is>
      </c>
      <c r="U22" s="20" t="inlineStr">
        <is>
          <t>1. Set precondition. 2. Send PATCH /api/v1/me/settings. 3. Inspect response and database.</t>
        </is>
      </c>
      <c r="V22" s="20" t="n">
        <v>200</v>
      </c>
      <c r="W22" s="20" t="inlineStr">
        <is>
          <t>A sees male; B remains female</t>
        </is>
      </c>
      <c r="X22" s="20" t="inlineStr">
        <is>
          <t>Only A row changes.</t>
        </is>
      </c>
      <c r="Y22" s="20" t="inlineStr">
        <is>
          <t>P0</t>
        </is>
      </c>
      <c r="Z22" s="20" t="inlineStr">
        <is>
          <t>Passed</t>
        </is>
      </c>
      <c r="AA22" s="20" t="inlineStr"/>
      <c r="AB22" s="20" t="inlineStr">
        <is>
          <t>test_settings_are_isolated_between_users</t>
        </is>
      </c>
    </row>
  </sheetData>
  <autoFilter ref="A14:AB22"/>
  <mergeCells count="15">
    <mergeCell ref="B3:G3"/>
    <mergeCell ref="B2:G2"/>
    <mergeCell ref="J13:J14"/>
    <mergeCell ref="L13:L14"/>
    <mergeCell ref="M13:M14"/>
    <mergeCell ref="A13:A14"/>
    <mergeCell ref="B13:B14"/>
    <mergeCell ref="E13:E14"/>
    <mergeCell ref="D13:D14"/>
    <mergeCell ref="B1:G1"/>
    <mergeCell ref="A12:M12"/>
    <mergeCell ref="K13:K14"/>
    <mergeCell ref="F13:G13"/>
    <mergeCell ref="H13:I13"/>
    <mergeCell ref="C13:C14"/>
  </mergeCells>
  <dataValidations count="2">
    <dataValidation sqref="K15:K22" showDropDown="0" showInputMessage="0" showErrorMessage="0" allowBlank="1" type="list">
      <formula1>"Passed,Failed,Blocked,Not run,N/A"</formula1>
    </dataValidation>
    <dataValidation sqref="L15:L22" showDropDown="0" showInputMessage="0" showErrorMessage="0" allowBlank="1" type="list">
      <formula1>"Automation,Manual,N/A"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showGridLines="1" zoomScale="85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28" customWidth="1" min="4" max="4"/>
    <col width="24" customWidth="1" min="5" max="5"/>
    <col width="20" customWidth="1" min="6" max="6"/>
    <col width="30" customWidth="1" min="7" max="7"/>
    <col width="20" customWidth="1" min="8" max="8"/>
    <col width="38" customWidth="1" min="9" max="9"/>
    <col width="34" customWidth="1" min="10" max="10"/>
    <col width="13" customWidth="1" min="11" max="11"/>
    <col width="14" customWidth="1" min="12" max="12"/>
    <col width="30" customWidth="1" min="13" max="13"/>
  </cols>
  <sheetData>
    <row r="1">
      <c r="A1" s="11" t="inlineStr">
        <is>
          <t>Project Name</t>
        </is>
      </c>
      <c r="B1" s="8" t="inlineStr"/>
      <c r="C1" s="9" t="n"/>
      <c r="D1" s="9" t="n"/>
      <c r="E1" s="9" t="n"/>
      <c r="F1" s="9" t="n"/>
      <c r="G1" s="10" t="n"/>
    </row>
    <row r="2">
      <c r="A2" s="11" t="inlineStr">
        <is>
          <t>API Name</t>
        </is>
      </c>
      <c r="B2" s="8" t="inlineStr"/>
      <c r="C2" s="9" t="n"/>
      <c r="D2" s="9" t="n"/>
      <c r="E2" s="9" t="n"/>
      <c r="F2" s="9" t="n"/>
      <c r="G2" s="10" t="n"/>
    </row>
    <row r="3">
      <c r="A3" s="11" t="inlineStr">
        <is>
          <t>Owner</t>
        </is>
      </c>
      <c r="B3" s="8" t="inlineStr"/>
      <c r="C3" s="9" t="n"/>
      <c r="D3" s="9" t="n"/>
      <c r="E3" s="9" t="n"/>
      <c r="F3" s="9" t="n"/>
      <c r="G3" s="10" t="n"/>
    </row>
    <row r="5">
      <c r="A5" s="11" t="inlineStr">
        <is>
          <t>PASSED</t>
        </is>
      </c>
      <c r="B5" s="8" t="n">
        <v>0</v>
      </c>
    </row>
    <row r="6">
      <c r="A6" s="11" t="inlineStr">
        <is>
          <t>FAILED</t>
        </is>
      </c>
      <c r="B6" s="8" t="n">
        <v>0</v>
      </c>
    </row>
    <row r="7">
      <c r="A7" s="11" t="inlineStr">
        <is>
          <t>PENDING</t>
        </is>
      </c>
      <c r="B7" s="8" t="n">
        <v>0</v>
      </c>
    </row>
    <row r="8">
      <c r="A8" s="11" t="inlineStr">
        <is>
          <t>NOT RUN</t>
        </is>
      </c>
      <c r="B8" s="8" t="n">
        <v>0</v>
      </c>
    </row>
    <row r="9">
      <c r="A9" s="11" t="inlineStr">
        <is>
          <t>AUTOMATION</t>
        </is>
      </c>
      <c r="B9" s="8" t="n">
        <v>0</v>
      </c>
    </row>
    <row r="10">
      <c r="A10" s="11" t="inlineStr">
        <is>
          <t>MANUAL</t>
        </is>
      </c>
      <c r="B10" s="8" t="n">
        <v>0</v>
      </c>
    </row>
    <row r="11">
      <c r="A11" s="11" t="inlineStr">
        <is>
          <t>Number of Testcase</t>
        </is>
      </c>
      <c r="B11" s="8" t="n">
        <v>0</v>
      </c>
    </row>
    <row r="12">
      <c r="A12" s="16" t="inlineStr">
        <is>
          <t>Validate / Functional / Security</t>
        </is>
      </c>
    </row>
    <row r="13">
      <c r="A13" s="2" t="inlineStr">
        <is>
          <t>ID</t>
        </is>
      </c>
      <c r="B13" s="2" t="inlineStr">
        <is>
          <t>Item</t>
        </is>
      </c>
      <c r="C13" s="2" t="inlineStr">
        <is>
          <t>Testcase Name</t>
        </is>
      </c>
      <c r="D13" s="2" t="inlineStr">
        <is>
          <t>Precondition Test Case</t>
        </is>
      </c>
      <c r="E13" s="2" t="inlineStr">
        <is>
          <t>Test data</t>
        </is>
      </c>
      <c r="F13" s="2" t="inlineStr">
        <is>
          <t>Request</t>
        </is>
      </c>
      <c r="G13" s="10" t="n"/>
      <c r="H13" s="2" t="inlineStr">
        <is>
          <t>Expected Response</t>
        </is>
      </c>
      <c r="I13" s="10" t="n"/>
      <c r="J13" s="2" t="inlineStr">
        <is>
          <t>Expected Database</t>
        </is>
      </c>
      <c r="K13" s="2" t="inlineStr">
        <is>
          <t>Result</t>
        </is>
      </c>
      <c r="L13" s="2" t="inlineStr">
        <is>
          <t>Execution</t>
        </is>
      </c>
      <c r="M13" s="2" t="inlineStr">
        <is>
          <t>Note</t>
        </is>
      </c>
    </row>
    <row r="14">
      <c r="A14" s="17" t="n"/>
      <c r="B14" s="17" t="n"/>
      <c r="C14" s="17" t="n"/>
      <c r="D14" s="17" t="n"/>
      <c r="E14" s="17" t="n"/>
      <c r="F14" s="2" t="inlineStr">
        <is>
          <t>params</t>
        </is>
      </c>
      <c r="G14" s="2" t="inlineStr">
        <is>
          <t>body</t>
        </is>
      </c>
      <c r="H14" s="2" t="inlineStr">
        <is>
          <t>Status code</t>
        </is>
      </c>
      <c r="I14" s="2" t="inlineStr">
        <is>
          <t>Body</t>
        </is>
      </c>
      <c r="J14" s="17" t="n"/>
      <c r="K14" s="17" t="n"/>
      <c r="L14" s="17" t="n"/>
      <c r="M14" s="17" t="n"/>
    </row>
    <row r="15" ht="5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</row>
    <row r="16" ht="5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</row>
    <row r="17" ht="5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</row>
    <row r="18" ht="5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</row>
    <row r="19" ht="5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</row>
    <row r="20" ht="5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</row>
    <row r="21" ht="5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</row>
    <row r="22" ht="5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</row>
    <row r="23" ht="5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</row>
    <row r="24" ht="5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</row>
    <row r="25" ht="5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</row>
    <row r="26" ht="5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</row>
  </sheetData>
  <mergeCells count="15">
    <mergeCell ref="B3:G3"/>
    <mergeCell ref="B2:G2"/>
    <mergeCell ref="J13:J14"/>
    <mergeCell ref="L13:L14"/>
    <mergeCell ref="M13:M14"/>
    <mergeCell ref="A13:A14"/>
    <mergeCell ref="B13:B14"/>
    <mergeCell ref="E13:E14"/>
    <mergeCell ref="D13:D14"/>
    <mergeCell ref="B1:G1"/>
    <mergeCell ref="A12:M12"/>
    <mergeCell ref="K13:K14"/>
    <mergeCell ref="F13:G13"/>
    <mergeCell ref="H13:I13"/>
    <mergeCell ref="C13:C1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API Test Cases - Auth Profile Settings</dc:title>
  <dcterms:created xsi:type="dcterms:W3CDTF">2026-10-13T06:42:00Z</dcterms:created>
  <dcterms:modified xsi:type="dcterms:W3CDTF">2026-10-13T07:42:14Z</dcterms:modified>
</cp:coreProperties>
</file>